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/Users/emmanuelolatunde/Downloads/"/>
    </mc:Choice>
  </mc:AlternateContent>
  <xr:revisionPtr revIDLastSave="8" documentId="8_{F6A07533-8D86-AD40-B645-6FB97152E14C}" xr6:coauthVersionLast="47" xr6:coauthVersionMax="47" xr10:uidLastSave="{5D18C640-CF0D-43C4-AD65-AB111F24C250}"/>
  <bookViews>
    <workbookView xWindow="0" yWindow="500" windowWidth="26080" windowHeight="19700" firstSheet="3" activeTab="3" xr2:uid="{00000000-000D-0000-FFFF-FFFF00000000}"/>
  </bookViews>
  <sheets>
    <sheet name="Expenses" sheetId="1" r:id="rId1"/>
    <sheet name="Amazon Income" sheetId="2" r:id="rId2"/>
    <sheet name="Amazon Profit" sheetId="3" r:id="rId3"/>
    <sheet name="D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 a="1"/>
  <c r="L9" i="1" s="1"/>
  <c r="B30" i="3"/>
  <c r="B9" i="3"/>
  <c r="G10" i="2"/>
  <c r="G8" i="2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18" i="1"/>
  <c r="G17" i="1"/>
  <c r="G15" i="1"/>
  <c r="G14" i="1"/>
  <c r="G13" i="1"/>
  <c r="G12" i="1"/>
  <c r="G11" i="1"/>
  <c r="G10" i="1"/>
  <c r="G9" i="1"/>
  <c r="G8" i="1"/>
  <c r="G7" i="1"/>
  <c r="G6" i="1"/>
  <c r="G5" i="1"/>
  <c r="B10" i="3" s="1" a="1"/>
  <c r="B10" i="3" s="1"/>
  <c r="C13" i="4"/>
  <c r="B8" i="4"/>
  <c r="B13" i="3" l="1"/>
  <c r="L8" i="1"/>
  <c r="L10" i="1" s="1"/>
  <c r="C14" i="4"/>
  <c r="D14" i="4" s="1"/>
  <c r="D8" i="4"/>
  <c r="C17" i="4"/>
  <c r="D17" i="4" s="1"/>
  <c r="E8" i="4"/>
  <c r="B17" i="3"/>
  <c r="C15" i="4"/>
  <c r="D15" i="4" s="1"/>
  <c r="C18" i="4" l="1"/>
  <c r="D18" i="4" s="1"/>
  <c r="B21" i="3"/>
  <c r="C19" i="4" s="1"/>
  <c r="D19" i="4" s="1"/>
  <c r="B24" i="3"/>
  <c r="C16" i="4"/>
  <c r="D16" i="4" s="1"/>
  <c r="B28" i="3" l="1"/>
  <c r="C22" i="4" s="1"/>
  <c r="D22" i="4" s="1"/>
  <c r="B27" i="3"/>
  <c r="C21" i="4" s="1"/>
  <c r="D21" i="4" s="1"/>
  <c r="C20" i="4"/>
  <c r="D2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<sst xmlns="http://schemas.openxmlformats.org/spreadsheetml/2006/main" count="147" uniqueCount="113">
  <si>
    <t>Expenses</t>
  </si>
  <si>
    <t>Recurring = calculated by time period  |  Static = one-time cost  |  End Date blank = uses TODAY()</t>
  </si>
  <si>
    <t>Type</t>
  </si>
  <si>
    <t>Item Description</t>
  </si>
  <si>
    <t>Unit Price ($)</t>
  </si>
  <si>
    <t>Frequency</t>
  </si>
  <si>
    <t>Start Date</t>
  </si>
  <si>
    <t>End Date</t>
  </si>
  <si>
    <t>Total Spent ($)</t>
  </si>
  <si>
    <t>Receipt Filename</t>
  </si>
  <si>
    <t>Notes</t>
  </si>
  <si>
    <t>Expense Calculator</t>
  </si>
  <si>
    <t>Recurring</t>
  </si>
  <si>
    <t>Amazon FBA Subscription</t>
  </si>
  <si>
    <t>Month</t>
  </si>
  <si>
    <t>Amazon Seller confirmation Email April 22 2026</t>
  </si>
  <si>
    <t>Paid with Emmanuel Amex</t>
  </si>
  <si>
    <t>Claude Subscription</t>
  </si>
  <si>
    <t>Claude Receipt April 22 2026.pdf</t>
  </si>
  <si>
    <t>Seller Amp</t>
  </si>
  <si>
    <t>Keepa</t>
  </si>
  <si>
    <t>Keepa Receipt April 22 2026.pdf</t>
  </si>
  <si>
    <t>Static Total</t>
  </si>
  <si>
    <t>Boxem</t>
  </si>
  <si>
    <t>Recurring Total</t>
  </si>
  <si>
    <t>Seller Board</t>
  </si>
  <si>
    <t>All Total</t>
  </si>
  <si>
    <t>Static</t>
  </si>
  <si>
    <t>Frontier Co-Op</t>
  </si>
  <si>
    <t>Once</t>
  </si>
  <si>
    <t>$10/Lifetime access</t>
  </si>
  <si>
    <t>Neo Email Setup</t>
  </si>
  <si>
    <t>Neo Email Setup Receipt April 24 2026.pdf</t>
  </si>
  <si>
    <t>$35.76 / 2 years</t>
  </si>
  <si>
    <t>⚠ Yellow = your inputs  |  Black = calculated formula  |  Colored = type indicator</t>
  </si>
  <si>
    <t>NameCheap Domain Purchase</t>
  </si>
  <si>
    <t>NameCheap Domain Purchase Receipt April 24 2026.pdf</t>
  </si>
  <si>
    <t>$26.36 / 2 years</t>
  </si>
  <si>
    <t>LLC Creation Expenses</t>
  </si>
  <si>
    <t>LLC Creation Receipt.pdf</t>
  </si>
  <si>
    <t>$203 for all required forms</t>
  </si>
  <si>
    <t>1st Inventory (Yarn)</t>
  </si>
  <si>
    <t>$68.84 for 2 pack of 12 each</t>
  </si>
  <si>
    <t>Amazon Income</t>
  </si>
  <si>
    <t>Log each Amazon payout here — one row per deposit</t>
  </si>
  <si>
    <t>Date</t>
  </si>
  <si>
    <t>Amount ($)</t>
  </si>
  <si>
    <t>Income Calculator</t>
  </si>
  <si>
    <t>Income after Fees</t>
  </si>
  <si>
    <t>Test</t>
  </si>
  <si>
    <t>Net Revenue</t>
  </si>
  <si>
    <t># of Deposits</t>
  </si>
  <si>
    <t>⚠ Yellow = date range inputs  |  Net Revenue auto-updates as you add rows</t>
  </si>
  <si>
    <t>Amazon Profit Calculator</t>
  </si>
  <si>
    <t>🟡 Yellow = your inputs (edit freely)  |  ⚫ Black = formula (do not edit)  |  🟢 Green = live from another sheet</t>
  </si>
  <si>
    <t>DATE RANGE  ← yellow cells are your inputs</t>
  </si>
  <si>
    <t>First date to include in calculations</t>
  </si>
  <si>
    <t>Last date to include in calculations</t>
  </si>
  <si>
    <t>REVENUE &amp; EXPENSES  — do not edit these rows</t>
  </si>
  <si>
    <t>Revenue</t>
  </si>
  <si>
    <t>Live from Amazon Income sheet (filtered by date range)</t>
  </si>
  <si>
    <t>Live from Expenses sheet (date filtered, handles blank end dates)</t>
  </si>
  <si>
    <t>PROFIT</t>
  </si>
  <si>
    <t>Pre-Tax Profit</t>
  </si>
  <si>
    <t>Revenue minus all expenses</t>
  </si>
  <si>
    <t>TAX RESERVE  ← edit yellow cell</t>
  </si>
  <si>
    <t>Tax Rate</t>
  </si>
  <si>
    <t>⚠ Edit this — estimated combined federal + NJ rate</t>
  </si>
  <si>
    <t>Tax Reserve</t>
  </si>
  <si>
    <t>Set aside — do not spend or distribute</t>
  </si>
  <si>
    <t>REINVESTMENT  ← edit yellow cell</t>
  </si>
  <si>
    <t>Reinvest %</t>
  </si>
  <si>
    <t>⚠ Edit this — % of after-tax profit to reinvest</t>
  </si>
  <si>
    <t>Reinvest Amount</t>
  </si>
  <si>
    <t>Reinvested back into inventory or growth</t>
  </si>
  <si>
    <t>MEMBER DISTRIBUTION  ← edit ownership % cells</t>
  </si>
  <si>
    <t>Distributable Profit</t>
  </si>
  <si>
    <t>After deducting tax reserve and reinvestment</t>
  </si>
  <si>
    <t>Kadiatu %</t>
  </si>
  <si>
    <t>⚠ Edit if ownership split changes</t>
  </si>
  <si>
    <t>Emmanuel %</t>
  </si>
  <si>
    <t>Kadiatu Share</t>
  </si>
  <si>
    <t>Kadiatu's distributable share</t>
  </si>
  <si>
    <t>Emmanuel Share</t>
  </si>
  <si>
    <t>Emmanuel's distributable share</t>
  </si>
  <si>
    <t>Ownership check (must = 100%)</t>
  </si>
  <si>
    <t>If not 100%, adjust Kadiatu % or Emmanuel % above</t>
  </si>
  <si>
    <t>Central Line Group LLC — Finance Overview</t>
  </si>
  <si>
    <t>EIN: 42-2162254   |   NJ ID: 0451453963   |   Formed: April 27, 2026</t>
  </si>
  <si>
    <t>Total Revenue ($)</t>
  </si>
  <si>
    <t>Total Expenses ($)</t>
  </si>
  <si>
    <t>Pre-Tax Profit ($)</t>
  </si>
  <si>
    <t>FINANCIAL SUMMARY</t>
  </si>
  <si>
    <t>Category</t>
  </si>
  <si>
    <t>% of Revenue</t>
  </si>
  <si>
    <t>Gross Revenue</t>
  </si>
  <si>
    <t>100%</t>
  </si>
  <si>
    <t>Total Amazon payouts to date</t>
  </si>
  <si>
    <t>Recurring Expenses</t>
  </si>
  <si>
    <t>Monthly subscriptions &amp; tools</t>
  </si>
  <si>
    <t>Static / One-time</t>
  </si>
  <si>
    <t>Setup costs, licenses, inventory</t>
  </si>
  <si>
    <t>Total Expenses</t>
  </si>
  <si>
    <t>Recurring + Static</t>
  </si>
  <si>
    <t>Tax Reserve (35%)</t>
  </si>
  <si>
    <t>Set aside — do not spend</t>
  </si>
  <si>
    <t>Reinvestment</t>
  </si>
  <si>
    <t>Back into inventory / growth</t>
  </si>
  <si>
    <t>After tax reserve + reinvestment</t>
  </si>
  <si>
    <t xml:space="preserve">  Kadiatu (70%)</t>
  </si>
  <si>
    <t>Kadiatu's share</t>
  </si>
  <si>
    <t xml:space="preserve">  Emmanuel (30%)</t>
  </si>
  <si>
    <t>Emmanuel's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</si>
</sst>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mm/dd/yyyy"/>
    <numFmt numFmtId="166" formatCode="0.0%"/>
  </numFmts>
  <fonts count="26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9"/>
      <color rgb="FF8899AA"/>
      <name val="Arial"/>
      <family val="2"/>
    </font>
    <font>
      <b/>
      <sz val="9"/>
      <color rgb="FFFFFFFF"/>
      <name val="Arial"/>
      <family val="2"/>
    </font>
    <font>
      <b/>
      <sz val="9"/>
      <color rgb="FF0000FF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9"/>
      <color rgb="FF185FA5"/>
      <name val="Arial"/>
      <family val="2"/>
    </font>
    <font>
      <b/>
      <sz val="9"/>
      <color rgb="FF854F0B"/>
      <name val="Arial"/>
      <family val="2"/>
    </font>
    <font>
      <b/>
      <sz val="9"/>
      <color rgb="FF5F5E5A"/>
      <name val="Arial"/>
      <family val="2"/>
    </font>
    <font>
      <i/>
      <sz val="8"/>
      <color rgb="FF854F0B"/>
      <name val="Arial"/>
      <family val="2"/>
    </font>
    <font>
      <b/>
      <sz val="9"/>
      <color rgb="FF3B6D11"/>
      <name val="Arial"/>
      <family val="2"/>
    </font>
    <font>
      <i/>
      <sz val="8"/>
      <color rgb="FF555555"/>
      <name val="Arial"/>
      <family val="2"/>
    </font>
    <font>
      <b/>
      <sz val="9"/>
      <color rgb="FF555555"/>
      <name val="Arial"/>
      <family val="2"/>
    </font>
    <font>
      <b/>
      <sz val="9"/>
      <color rgb="FF008000"/>
      <name val="Arial"/>
      <family val="2"/>
    </font>
    <font>
      <b/>
      <sz val="9"/>
      <color rgb="FF000000"/>
      <name val="Arial"/>
      <family val="2"/>
    </font>
    <font>
      <b/>
      <sz val="9"/>
      <color rgb="FFB71C1C"/>
      <name val="Arial"/>
      <family val="2"/>
    </font>
    <font>
      <b/>
      <sz val="14"/>
      <color rgb="FF185FA5"/>
      <name val="Arial"/>
      <family val="2"/>
    </font>
    <font>
      <b/>
      <sz val="14"/>
      <color rgb="FF854F0B"/>
      <name val="Arial"/>
      <family val="2"/>
    </font>
    <font>
      <b/>
      <sz val="14"/>
      <color rgb="FF3B6D11"/>
      <name val="Arial"/>
      <family val="2"/>
    </font>
    <font>
      <sz val="9"/>
      <color rgb="FF1A1A1A"/>
      <name val="Arial"/>
      <family val="2"/>
    </font>
    <font>
      <sz val="9"/>
      <color rgb="FF008000"/>
      <name val="Arial"/>
      <family val="2"/>
    </font>
    <font>
      <b/>
      <sz val="9"/>
      <color rgb="FF1A1A1A"/>
      <name val="Arial"/>
      <family val="2"/>
    </font>
    <font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DE7"/>
      </patternFill>
    </fill>
    <fill>
      <patternFill patternType="solid">
        <fgColor rgb="FFE6F1FB"/>
      </patternFill>
    </fill>
    <fill>
      <patternFill patternType="solid">
        <fgColor rgb="FFFAEEDA"/>
      </patternFill>
    </fill>
    <fill>
      <patternFill patternType="solid">
        <fgColor rgb="FFF1EFE8"/>
      </patternFill>
    </fill>
    <fill>
      <patternFill patternType="solid">
        <fgColor rgb="FFEAF3D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DECEA"/>
      </patternFill>
    </fill>
    <fill>
      <patternFill patternType="solid">
        <fgColor rgb="FF2C3E6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65" fontId="5" fillId="3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/>
    </xf>
    <xf numFmtId="164" fontId="9" fillId="4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left" vertical="center"/>
    </xf>
    <xf numFmtId="164" fontId="10" fillId="5" borderId="1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/>
    </xf>
    <xf numFmtId="164" fontId="11" fillId="6" borderId="1" xfId="0" applyNumberFormat="1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left" vertical="center"/>
    </xf>
    <xf numFmtId="164" fontId="13" fillId="7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/>
    </xf>
    <xf numFmtId="1" fontId="6" fillId="8" borderId="1" xfId="0" applyNumberFormat="1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 vertical="center" wrapText="1"/>
    </xf>
    <xf numFmtId="164" fontId="17" fillId="6" borderId="1" xfId="0" applyNumberFormat="1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left" vertical="center" wrapText="1"/>
    </xf>
    <xf numFmtId="9" fontId="5" fillId="3" borderId="1" xfId="0" applyNumberFormat="1" applyFont="1" applyFill="1" applyBorder="1" applyAlignment="1">
      <alignment horizontal="right" vertical="center"/>
    </xf>
    <xf numFmtId="0" fontId="18" fillId="10" borderId="1" xfId="0" applyFont="1" applyFill="1" applyBorder="1" applyAlignment="1">
      <alignment horizontal="left" vertical="center"/>
    </xf>
    <xf numFmtId="164" fontId="18" fillId="10" borderId="1" xfId="0" applyNumberFormat="1" applyFont="1" applyFill="1" applyBorder="1" applyAlignment="1">
      <alignment horizontal="right" vertical="center"/>
    </xf>
    <xf numFmtId="0" fontId="14" fillId="1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9" fontId="6" fillId="8" borderId="1" xfId="0" applyNumberFormat="1" applyFont="1" applyFill="1" applyBorder="1" applyAlignment="1">
      <alignment horizontal="right" vertical="center"/>
    </xf>
    <xf numFmtId="0" fontId="14" fillId="8" borderId="1" xfId="0" applyFont="1" applyFill="1" applyBorder="1" applyAlignment="1">
      <alignment horizontal="left" vertical="center" wrapText="1"/>
    </xf>
    <xf numFmtId="0" fontId="3" fillId="11" borderId="0" xfId="0" applyFont="1" applyFill="1" applyAlignment="1">
      <alignment horizontal="center" vertical="center"/>
    </xf>
    <xf numFmtId="0" fontId="22" fillId="9" borderId="1" xfId="0" applyFont="1" applyFill="1" applyBorder="1" applyAlignment="1">
      <alignment horizontal="left" vertical="center"/>
    </xf>
    <xf numFmtId="164" fontId="23" fillId="9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/>
    </xf>
    <xf numFmtId="0" fontId="0" fillId="9" borderId="0" xfId="0" applyFill="1"/>
    <xf numFmtId="0" fontId="22" fillId="8" borderId="1" xfId="0" applyFont="1" applyFill="1" applyBorder="1" applyAlignment="1">
      <alignment horizontal="left" vertical="center"/>
    </xf>
    <xf numFmtId="164" fontId="23" fillId="8" borderId="1" xfId="0" applyNumberFormat="1" applyFont="1" applyFill="1" applyBorder="1" applyAlignment="1">
      <alignment horizontal="right" vertical="center"/>
    </xf>
    <xf numFmtId="166" fontId="6" fillId="8" borderId="1" xfId="0" applyNumberFormat="1" applyFont="1" applyFill="1" applyBorder="1" applyAlignment="1">
      <alignment horizontal="right" vertical="center"/>
    </xf>
    <xf numFmtId="0" fontId="0" fillId="8" borderId="0" xfId="0" applyFill="1"/>
    <xf numFmtId="166" fontId="6" fillId="9" borderId="1" xfId="0" applyNumberFormat="1" applyFont="1" applyFill="1" applyBorder="1" applyAlignment="1">
      <alignment horizontal="right" vertical="center"/>
    </xf>
    <xf numFmtId="0" fontId="24" fillId="6" borderId="1" xfId="0" applyFont="1" applyFill="1" applyBorder="1" applyAlignment="1">
      <alignment horizontal="left" vertical="center"/>
    </xf>
    <xf numFmtId="164" fontId="16" fillId="6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0" fillId="6" borderId="0" xfId="0" applyFill="1"/>
    <xf numFmtId="0" fontId="22" fillId="10" borderId="1" xfId="0" applyFont="1" applyFill="1" applyBorder="1" applyAlignment="1">
      <alignment horizontal="left" vertical="center"/>
    </xf>
    <xf numFmtId="164" fontId="23" fillId="10" borderId="1" xfId="0" applyNumberFormat="1" applyFont="1" applyFill="1" applyBorder="1" applyAlignment="1">
      <alignment horizontal="right" vertical="center"/>
    </xf>
    <xf numFmtId="166" fontId="6" fillId="10" borderId="1" xfId="0" applyNumberFormat="1" applyFont="1" applyFill="1" applyBorder="1" applyAlignment="1">
      <alignment horizontal="right" vertical="center"/>
    </xf>
    <xf numFmtId="0" fontId="7" fillId="10" borderId="1" xfId="0" applyFont="1" applyFill="1" applyBorder="1" applyAlignment="1">
      <alignment horizontal="left" vertical="center"/>
    </xf>
    <xf numFmtId="0" fontId="0" fillId="10" borderId="0" xfId="0" applyFill="1"/>
    <xf numFmtId="0" fontId="22" fillId="4" borderId="1" xfId="0" applyFont="1" applyFill="1" applyBorder="1" applyAlignment="1">
      <alignment horizontal="left" vertical="center"/>
    </xf>
    <xf numFmtId="164" fontId="23" fillId="4" borderId="1" xfId="0" applyNumberFormat="1" applyFont="1" applyFill="1" applyBorder="1" applyAlignment="1">
      <alignment horizontal="right" vertical="center"/>
    </xf>
    <xf numFmtId="166" fontId="6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right" vertical="center"/>
    </xf>
    <xf numFmtId="166" fontId="6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164" fontId="23" fillId="7" borderId="1" xfId="0" applyNumberFormat="1" applyFont="1" applyFill="1" applyBorder="1" applyAlignment="1">
      <alignment horizontal="right" vertical="center"/>
    </xf>
    <xf numFmtId="0" fontId="0" fillId="4" borderId="0" xfId="0" applyFill="1"/>
    <xf numFmtId="0" fontId="0" fillId="0" borderId="0" xfId="0"/>
    <xf numFmtId="0" fontId="0" fillId="7" borderId="0" xfId="0" applyFill="1"/>
    <xf numFmtId="0" fontId="0" fillId="2" borderId="0" xfId="0" applyFill="1"/>
    <xf numFmtId="0" fontId="25" fillId="0" borderId="0" xfId="0" applyFont="1" applyAlignment="1">
      <alignment horizontal="left" vertical="center"/>
    </xf>
    <xf numFmtId="164" fontId="25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14" fontId="0" fillId="0" borderId="0" xfId="0" applyNumberFormat="1"/>
    <xf numFmtId="0" fontId="9" fillId="4" borderId="0" xfId="0" applyFont="1" applyFill="1" applyAlignment="1">
      <alignment horizontal="center" vertical="center"/>
    </xf>
    <xf numFmtId="0" fontId="0" fillId="4" borderId="0" xfId="0" applyFill="1" applyAlignment="1"/>
    <xf numFmtId="0" fontId="1" fillId="2" borderId="0" xfId="0" applyFont="1" applyFill="1" applyAlignment="1">
      <alignment horizontal="left" vertical="center"/>
    </xf>
    <xf numFmtId="0" fontId="0" fillId="0" borderId="0" xfId="0" applyAlignment="1"/>
    <xf numFmtId="0" fontId="13" fillId="7" borderId="0" xfId="0" applyFont="1" applyFill="1" applyAlignment="1">
      <alignment horizontal="center" vertical="center"/>
    </xf>
    <xf numFmtId="0" fontId="0" fillId="7" borderId="0" xfId="0" applyFill="1" applyAlignment="1"/>
    <xf numFmtId="0" fontId="3" fillId="2" borderId="0" xfId="0" applyFont="1" applyFill="1" applyAlignment="1">
      <alignment horizontal="left" vertical="center"/>
    </xf>
    <xf numFmtId="0" fontId="0" fillId="2" borderId="0" xfId="0" applyFill="1" applyAlignment="1"/>
    <xf numFmtId="0" fontId="10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64" fontId="20" fillId="5" borderId="0" xfId="0" applyNumberFormat="1" applyFont="1" applyFill="1" applyAlignment="1">
      <alignment horizontal="center" vertical="center"/>
    </xf>
    <xf numFmtId="164" fontId="19" fillId="4" borderId="0" xfId="0" applyNumberFormat="1" applyFont="1" applyFill="1" applyAlignment="1">
      <alignment horizontal="center" vertical="center"/>
    </xf>
    <xf numFmtId="164" fontId="21" fillId="7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2">
    <dxf>
      <font>
        <b/>
        <sz val="9"/>
        <color rgb="FF185FA5"/>
        <name val="Arial"/>
      </font>
      <fill>
        <patternFill patternType="solid">
          <fgColor rgb="FFE6F1FB"/>
        </patternFill>
      </fill>
    </dxf>
    <dxf>
      <font>
        <b/>
        <sz val="9"/>
        <color rgb="FF854F0B"/>
        <name val="Arial"/>
      </font>
      <fill>
        <patternFill patternType="solid">
          <fgColor rgb="FFFAEE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xpenses" displayName="tblExpenses" ref="A4:I35">
  <autoFilter ref="A4:I35" xr:uid="{00000000-0009-0000-0100-000001000000}"/>
  <tableColumns count="9">
    <tableColumn id="1" xr3:uid="{00000000-0010-0000-0000-000001000000}" name="Type"/>
    <tableColumn id="2" xr3:uid="{00000000-0010-0000-0000-000002000000}" name="Item Description"/>
    <tableColumn id="3" xr3:uid="{00000000-0010-0000-0000-000003000000}" name="Unit Price ($)"/>
    <tableColumn id="4" xr3:uid="{00000000-0010-0000-0000-000004000000}" name="Frequency"/>
    <tableColumn id="5" xr3:uid="{00000000-0010-0000-0000-000005000000}" name="Start Date"/>
    <tableColumn id="6" xr3:uid="{00000000-0010-0000-0000-000006000000}" name="End Date"/>
    <tableColumn id="7" xr3:uid="{00000000-0010-0000-0000-000007000000}" name="Total Spent ($)"/>
    <tableColumn id="8" xr3:uid="{00000000-0010-0000-0000-000008000000}" name="Receipt Filename"/>
    <tableColumn id="9" xr3:uid="{00000000-0010-0000-0000-000009000000}" name="Note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come" displayName="tblIncome" ref="A4:D17">
  <autoFilter ref="A4:D17" xr:uid="{00000000-0009-0000-0100-000002000000}"/>
  <tableColumns count="4">
    <tableColumn id="1" xr3:uid="{00000000-0010-0000-0100-000001000000}" name="Date"/>
    <tableColumn id="2" xr3:uid="{00000000-0010-0000-0100-000002000000}" name="Type"/>
    <tableColumn id="3" xr3:uid="{00000000-0010-0000-0100-000003000000}" name="Amount ($)"/>
    <tableColumn id="4" xr3:uid="{00000000-0010-0000-0100-000004000000}" name="Notes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54F0B"/>
  </sheetPr>
  <dimension ref="A1:L518"/>
  <sheetViews>
    <sheetView showGridLines="0" workbookViewId="0">
      <pane ySplit="4" topLeftCell="A5" activePane="bottomLeft" state="frozen"/>
      <selection pane="bottomLeft" activeCell="L7" sqref="L7"/>
    </sheetView>
  </sheetViews>
  <sheetFormatPr defaultColWidth="8.85546875" defaultRowHeight="15"/>
  <cols>
    <col min="1" max="1" width="12" customWidth="1"/>
    <col min="2" max="2" width="28" customWidth="1"/>
    <col min="3" max="3" width="13" customWidth="1"/>
    <col min="4" max="4" width="11" customWidth="1"/>
    <col min="5" max="7" width="14" customWidth="1"/>
    <col min="8" max="8" width="30" customWidth="1"/>
    <col min="9" max="9" width="28" customWidth="1"/>
    <col min="10" max="10" width="2" customWidth="1"/>
    <col min="11" max="11" width="20" customWidth="1"/>
    <col min="12" max="12" width="16" customWidth="1"/>
  </cols>
  <sheetData>
    <row r="1" spans="1:12" ht="8.1" customHeight="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38.1" customHeight="1">
      <c r="A2" s="68"/>
      <c r="B2" s="76" t="s">
        <v>0</v>
      </c>
      <c r="C2" s="77"/>
      <c r="D2" s="77"/>
      <c r="E2" s="77"/>
      <c r="F2" s="77"/>
      <c r="G2" s="77"/>
      <c r="H2" s="77"/>
      <c r="I2" s="77"/>
      <c r="J2" s="68"/>
      <c r="K2" s="68"/>
      <c r="L2" s="68"/>
    </row>
    <row r="3" spans="1:12" ht="20.25" customHeight="1">
      <c r="A3" s="68"/>
      <c r="B3" s="83" t="s">
        <v>1</v>
      </c>
      <c r="C3" s="77"/>
      <c r="D3" s="77"/>
      <c r="E3" s="77"/>
      <c r="F3" s="77"/>
      <c r="G3" s="77"/>
      <c r="H3" s="77"/>
      <c r="I3" s="77"/>
      <c r="J3" s="68"/>
      <c r="K3" s="68"/>
      <c r="L3" s="68"/>
    </row>
    <row r="4" spans="1:12" ht="21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66"/>
      <c r="K4" s="87" t="s">
        <v>11</v>
      </c>
      <c r="L4" s="81"/>
    </row>
    <row r="5" spans="1:12" ht="18" customHeight="1">
      <c r="A5" s="2" t="s">
        <v>12</v>
      </c>
      <c r="B5" s="69" t="s">
        <v>13</v>
      </c>
      <c r="C5" s="70">
        <v>40</v>
      </c>
      <c r="D5" s="71" t="s">
        <v>14</v>
      </c>
      <c r="E5" s="72">
        <v>46134</v>
      </c>
      <c r="F5" s="72"/>
      <c r="G5" s="70">
        <f t="shared" ref="G5:G85" ca="1" si="0">IF(A5="","",IF(A5="Static",C5,IF(D5="Day",C5*(IF(F5="",TODAY(),F5)-E5),IF(D5="Week",C5*((IF(F5="",TODAY(),F5)-E5)/7),IF(D5="Month",C5*(DATEDIF(E5,IF(F5="",TODAY(),F5),"m")+1),IF(D5="Year",C5*(DATEDIF(E5,IF(F5="",TODAY(),F5),"y")+1),0))))))</f>
        <v>40</v>
      </c>
      <c r="H5" s="69" t="s">
        <v>15</v>
      </c>
      <c r="I5" s="69" t="s">
        <v>16</v>
      </c>
      <c r="J5" s="66"/>
      <c r="K5" s="8" t="s">
        <v>6</v>
      </c>
      <c r="L5" s="9">
        <v>46113</v>
      </c>
    </row>
    <row r="6" spans="1:12" ht="18" customHeight="1">
      <c r="A6" s="2" t="s">
        <v>12</v>
      </c>
      <c r="B6" s="69" t="s">
        <v>17</v>
      </c>
      <c r="C6" s="70">
        <v>20</v>
      </c>
      <c r="D6" s="71" t="s">
        <v>14</v>
      </c>
      <c r="E6" s="72">
        <v>46134</v>
      </c>
      <c r="F6" s="72"/>
      <c r="G6" s="70">
        <f t="shared" ca="1" si="0"/>
        <v>20</v>
      </c>
      <c r="H6" s="69" t="s">
        <v>18</v>
      </c>
      <c r="I6" s="69" t="s">
        <v>16</v>
      </c>
      <c r="J6" s="66"/>
      <c r="K6" s="8" t="s">
        <v>7</v>
      </c>
      <c r="L6" s="9">
        <v>46364</v>
      </c>
    </row>
    <row r="7" spans="1:12">
      <c r="A7" s="2" t="s">
        <v>12</v>
      </c>
      <c r="B7" s="69" t="s">
        <v>19</v>
      </c>
      <c r="C7" s="70">
        <v>299.5</v>
      </c>
      <c r="D7" s="71" t="s">
        <v>14</v>
      </c>
      <c r="E7" s="72">
        <v>46134</v>
      </c>
      <c r="F7" s="72"/>
      <c r="G7" s="70">
        <f t="shared" ca="1" si="0"/>
        <v>299.5</v>
      </c>
      <c r="H7" s="69"/>
      <c r="I7" s="69"/>
      <c r="J7" s="66"/>
      <c r="K7" s="66"/>
      <c r="L7" s="66"/>
    </row>
    <row r="8" spans="1:12" ht="18" customHeight="1">
      <c r="A8" s="2" t="s">
        <v>12</v>
      </c>
      <c r="B8" s="69" t="s">
        <v>20</v>
      </c>
      <c r="C8" s="70">
        <v>340.86</v>
      </c>
      <c r="D8" s="71" t="s">
        <v>14</v>
      </c>
      <c r="E8" s="72">
        <v>46134</v>
      </c>
      <c r="F8" s="72"/>
      <c r="G8" s="70">
        <f t="shared" ca="1" si="0"/>
        <v>340.86</v>
      </c>
      <c r="H8" s="69" t="s">
        <v>21</v>
      </c>
      <c r="I8" s="69"/>
      <c r="J8" s="66"/>
      <c r="K8" s="10" t="s">
        <v>22</v>
      </c>
      <c r="L8" s="11">
        <f ca="1">SUMIFS(G:G,A:A,"Static",E:E,"&gt;="&amp;L5,E:E,"&lt;="&amp;L6)</f>
        <v>343.96000000000004</v>
      </c>
    </row>
    <row r="9" spans="1:12" ht="20.100000000000001" customHeight="1">
      <c r="A9" s="2" t="s">
        <v>12</v>
      </c>
      <c r="B9" s="69" t="s">
        <v>23</v>
      </c>
      <c r="C9" s="70">
        <v>449</v>
      </c>
      <c r="D9" s="71" t="s">
        <v>14</v>
      </c>
      <c r="E9" s="72">
        <v>46134</v>
      </c>
      <c r="F9" s="72"/>
      <c r="G9" s="70">
        <f t="shared" ca="1" si="0"/>
        <v>449</v>
      </c>
      <c r="H9" s="69"/>
      <c r="I9" s="69"/>
      <c r="J9" s="66"/>
      <c r="K9" s="12" t="s">
        <v>24</v>
      </c>
      <c r="L9" s="13" cm="1">
        <f t="array" aca="1" ref="L9" ca="1">SUMPRODUCT(
(A5:A517="Recurring")*
(E5:E517&lt;=L6)*
(IF(F5:F517="",TODAY(),F5:F517)&gt;=L5)*
C5:C517*
IF(D5:D517="Day",
((IF(F5:F517="",TODAY(),F5:F517)*(IF(F5:F517="",TODAY(),F5:F517)&lt;=L6)+L6*(IF(F5:F517="",TODAY(),F5:F517)&gt;L6))
-(E5:E517*(E5:E517&gt;=L5)+L5*(E5:E517&lt;L5))),
IF(D5:D517="Week",
((IF(F5:F517="",TODAY(),F5:F517)*(IF(F5:F517="",TODAY(),F5:F517)&lt;=L6)+L6*(IF(F5:F517="",TODAY(),F5:F517)&gt;L6))
-(E5:E517*(E5:E517&gt;=L5)+L5*(E5:E517&lt;L5)))/7,
IF(D5:D517="Month",
DATEDIF(
(E5:E517*(E5:E517&gt;=L5)+L5*(E5:E517&lt;L5)),
(IF(F5:F517="",TODAY(),F5:F517)*(IF(F5:F517="",TODAY(),F5:F517)&lt;=L6)+L6*(IF(F5:F517="",TODAY(),F5:F517)&gt;L6)),
"m")+1,
IF(D5:D517="Year",
DATEDIF(
(E5:E517*(E5:E517&gt;=L5)+L5*(E5:E517&lt;L5)),
(IF(F5:F517="",TODAY(),F5:F517)*(IF(F5:F517="",TODAY(),F5:F517)&lt;=L6)+L6*(IF(F5:F517="",TODAY(),F5:F517)&gt;L6)),
"y")+1,
0)))))</f>
        <v>1328.3600000000001</v>
      </c>
    </row>
    <row r="10" spans="1:12" ht="18" customHeight="1">
      <c r="A10" s="2" t="s">
        <v>12</v>
      </c>
      <c r="B10" s="69" t="s">
        <v>25</v>
      </c>
      <c r="C10" s="70">
        <v>179</v>
      </c>
      <c r="D10" s="71" t="s">
        <v>14</v>
      </c>
      <c r="E10" s="72">
        <v>46134</v>
      </c>
      <c r="F10" s="72"/>
      <c r="G10" s="70">
        <f t="shared" ca="1" si="0"/>
        <v>179</v>
      </c>
      <c r="H10" s="69"/>
      <c r="I10" s="69"/>
      <c r="J10" s="66"/>
      <c r="K10" s="14" t="s">
        <v>26</v>
      </c>
      <c r="L10" s="15">
        <f ca="1">SUM(L8:L9)</f>
        <v>1672.3200000000002</v>
      </c>
    </row>
    <row r="11" spans="1:12" ht="17.100000000000001" customHeight="1">
      <c r="A11" s="2" t="s">
        <v>27</v>
      </c>
      <c r="B11" s="69" t="s">
        <v>28</v>
      </c>
      <c r="C11" s="70">
        <v>10</v>
      </c>
      <c r="D11" s="71" t="s">
        <v>29</v>
      </c>
      <c r="E11" s="72">
        <v>46135</v>
      </c>
      <c r="F11" s="72"/>
      <c r="G11" s="70">
        <f t="shared" ca="1" si="0"/>
        <v>10</v>
      </c>
      <c r="H11" s="69"/>
      <c r="I11" s="69" t="s">
        <v>30</v>
      </c>
      <c r="J11" s="66"/>
      <c r="K11" s="66"/>
      <c r="L11" s="66"/>
    </row>
    <row r="12" spans="1:12" ht="27.95" customHeight="1">
      <c r="A12" s="2" t="s">
        <v>27</v>
      </c>
      <c r="B12" s="69" t="s">
        <v>31</v>
      </c>
      <c r="C12" s="70">
        <v>35.76</v>
      </c>
      <c r="D12" s="71" t="s">
        <v>29</v>
      </c>
      <c r="E12" s="72">
        <v>46136</v>
      </c>
      <c r="F12" s="72"/>
      <c r="G12" s="70">
        <f t="shared" ca="1" si="0"/>
        <v>35.76</v>
      </c>
      <c r="H12" s="69" t="s">
        <v>32</v>
      </c>
      <c r="I12" s="69" t="s">
        <v>33</v>
      </c>
      <c r="J12" s="66"/>
      <c r="K12" s="88" t="s">
        <v>34</v>
      </c>
      <c r="L12" s="77"/>
    </row>
    <row r="13" spans="1:12" ht="17.100000000000001" customHeight="1">
      <c r="A13" s="2" t="s">
        <v>27</v>
      </c>
      <c r="B13" s="69" t="s">
        <v>35</v>
      </c>
      <c r="C13" s="70">
        <v>26.36</v>
      </c>
      <c r="D13" s="71" t="s">
        <v>29</v>
      </c>
      <c r="E13" s="72">
        <v>46136</v>
      </c>
      <c r="F13" s="72"/>
      <c r="G13" s="70">
        <f t="shared" ca="1" si="0"/>
        <v>26.36</v>
      </c>
      <c r="H13" s="69" t="s">
        <v>36</v>
      </c>
      <c r="I13" s="69" t="s">
        <v>37</v>
      </c>
      <c r="J13" s="66"/>
      <c r="K13" s="66"/>
      <c r="L13" s="66"/>
    </row>
    <row r="14" spans="1:12" ht="17.100000000000001" customHeight="1">
      <c r="A14" s="2" t="s">
        <v>27</v>
      </c>
      <c r="B14" s="69" t="s">
        <v>38</v>
      </c>
      <c r="C14" s="70">
        <v>203</v>
      </c>
      <c r="D14" s="71" t="s">
        <v>29</v>
      </c>
      <c r="E14" s="72">
        <v>46139</v>
      </c>
      <c r="F14" s="72"/>
      <c r="G14" s="70">
        <f t="shared" ca="1" si="0"/>
        <v>203</v>
      </c>
      <c r="H14" s="69" t="s">
        <v>39</v>
      </c>
      <c r="I14" s="69" t="s">
        <v>40</v>
      </c>
      <c r="J14" s="66"/>
      <c r="K14" s="66"/>
      <c r="L14" s="66"/>
    </row>
    <row r="15" spans="1:12" ht="17.100000000000001" customHeight="1">
      <c r="A15" s="2" t="s">
        <v>27</v>
      </c>
      <c r="B15" s="69" t="s">
        <v>41</v>
      </c>
      <c r="C15" s="70">
        <v>68.84</v>
      </c>
      <c r="D15" s="71" t="s">
        <v>29</v>
      </c>
      <c r="E15" s="72">
        <v>46137</v>
      </c>
      <c r="F15" s="72"/>
      <c r="G15" s="70">
        <f t="shared" ca="1" si="0"/>
        <v>68.84</v>
      </c>
      <c r="H15" s="69"/>
      <c r="I15" s="69" t="s">
        <v>42</v>
      </c>
      <c r="J15" s="66"/>
      <c r="K15" s="66"/>
      <c r="L15" s="66"/>
    </row>
    <row r="16" spans="1:12" ht="17.100000000000001" customHeight="1">
      <c r="A16" s="66"/>
      <c r="B16" s="66"/>
      <c r="C16" s="66"/>
      <c r="D16" s="66"/>
      <c r="E16" s="73"/>
      <c r="F16" s="73"/>
      <c r="G16" s="6"/>
      <c r="H16" s="66"/>
      <c r="I16" s="66"/>
      <c r="J16" s="66"/>
      <c r="K16" s="66"/>
      <c r="L16" s="66"/>
    </row>
    <row r="17" spans="7:7" ht="17.100000000000001" customHeight="1">
      <c r="G17" s="6" t="str">
        <f t="shared" ca="1" si="0"/>
        <v/>
      </c>
    </row>
    <row r="18" spans="7:7" ht="17.100000000000001" customHeight="1">
      <c r="G18" s="6" t="str">
        <f t="shared" ca="1" si="0"/>
        <v/>
      </c>
    </row>
    <row r="19" spans="7:7" ht="17.100000000000001" customHeight="1">
      <c r="G19" s="6"/>
    </row>
    <row r="20" spans="7:7" ht="17.100000000000001" customHeight="1">
      <c r="G20" s="6"/>
    </row>
    <row r="21" spans="7:7" ht="17.100000000000001" customHeight="1">
      <c r="G21" s="6"/>
    </row>
    <row r="22" spans="7:7" ht="17.100000000000001" customHeight="1">
      <c r="G22" s="6"/>
    </row>
    <row r="23" spans="7:7" ht="17.100000000000001" customHeight="1">
      <c r="G23" s="6"/>
    </row>
    <row r="24" spans="7:7" ht="17.100000000000001" customHeight="1">
      <c r="G24" s="6"/>
    </row>
    <row r="25" spans="7:7" ht="17.100000000000001" customHeight="1">
      <c r="G25" s="6"/>
    </row>
    <row r="26" spans="7:7" ht="17.100000000000001" customHeight="1">
      <c r="G26" s="6"/>
    </row>
    <row r="27" spans="7:7" ht="17.100000000000001" customHeight="1">
      <c r="G27" s="6"/>
    </row>
    <row r="28" spans="7:7" ht="17.100000000000001" customHeight="1">
      <c r="G28" s="6"/>
    </row>
    <row r="29" spans="7:7" ht="17.100000000000001" customHeight="1">
      <c r="G29" s="6"/>
    </row>
    <row r="30" spans="7:7" ht="17.100000000000001" customHeight="1">
      <c r="G30" s="6"/>
    </row>
    <row r="31" spans="7:7" ht="17.100000000000001" customHeight="1">
      <c r="G31" s="6"/>
    </row>
    <row r="32" spans="7:7" ht="17.100000000000001" customHeight="1">
      <c r="G32" s="6"/>
    </row>
    <row r="33" spans="7:7" ht="17.100000000000001" customHeight="1">
      <c r="G33" s="6"/>
    </row>
    <row r="34" spans="7:7" ht="17.100000000000001" customHeight="1">
      <c r="G34" s="6"/>
    </row>
    <row r="35" spans="7:7" ht="17.100000000000001" customHeight="1">
      <c r="G35" s="6"/>
    </row>
    <row r="36" spans="7:7" ht="17.100000000000001" customHeight="1">
      <c r="G36" s="6" t="str">
        <f t="shared" ca="1" si="0"/>
        <v/>
      </c>
    </row>
    <row r="37" spans="7:7" ht="17.100000000000001" customHeight="1">
      <c r="G37" s="6" t="str">
        <f t="shared" ca="1" si="0"/>
        <v/>
      </c>
    </row>
    <row r="38" spans="7:7" ht="17.100000000000001" customHeight="1">
      <c r="G38" s="6" t="str">
        <f t="shared" ca="1" si="0"/>
        <v/>
      </c>
    </row>
    <row r="39" spans="7:7" ht="17.100000000000001" customHeight="1">
      <c r="G39" s="6" t="str">
        <f t="shared" ca="1" si="0"/>
        <v/>
      </c>
    </row>
    <row r="40" spans="7:7" ht="17.100000000000001" customHeight="1">
      <c r="G40" s="6" t="str">
        <f t="shared" ca="1" si="0"/>
        <v/>
      </c>
    </row>
    <row r="41" spans="7:7" ht="17.100000000000001" customHeight="1">
      <c r="G41" s="6" t="str">
        <f t="shared" ca="1" si="0"/>
        <v/>
      </c>
    </row>
    <row r="42" spans="7:7" ht="17.100000000000001" customHeight="1">
      <c r="G42" s="6" t="str">
        <f t="shared" ca="1" si="0"/>
        <v/>
      </c>
    </row>
    <row r="43" spans="7:7" ht="17.100000000000001" customHeight="1">
      <c r="G43" s="6" t="str">
        <f t="shared" ca="1" si="0"/>
        <v/>
      </c>
    </row>
    <row r="44" spans="7:7" ht="17.100000000000001" customHeight="1">
      <c r="G44" s="6" t="str">
        <f t="shared" ca="1" si="0"/>
        <v/>
      </c>
    </row>
    <row r="45" spans="7:7" ht="17.100000000000001" customHeight="1">
      <c r="G45" s="6" t="str">
        <f t="shared" ca="1" si="0"/>
        <v/>
      </c>
    </row>
    <row r="46" spans="7:7" ht="17.100000000000001" customHeight="1">
      <c r="G46" s="6" t="str">
        <f t="shared" ca="1" si="0"/>
        <v/>
      </c>
    </row>
    <row r="47" spans="7:7" ht="17.100000000000001" customHeight="1">
      <c r="G47" s="6" t="str">
        <f t="shared" ca="1" si="0"/>
        <v/>
      </c>
    </row>
    <row r="48" spans="7:7" ht="17.100000000000001" customHeight="1">
      <c r="G48" s="6" t="str">
        <f t="shared" ca="1" si="0"/>
        <v/>
      </c>
    </row>
    <row r="49" spans="7:7" ht="17.100000000000001" customHeight="1">
      <c r="G49" s="6" t="str">
        <f t="shared" ca="1" si="0"/>
        <v/>
      </c>
    </row>
    <row r="50" spans="7:7" ht="17.100000000000001" customHeight="1">
      <c r="G50" s="6" t="str">
        <f t="shared" ca="1" si="0"/>
        <v/>
      </c>
    </row>
    <row r="51" spans="7:7" ht="17.100000000000001" customHeight="1">
      <c r="G51" s="6" t="str">
        <f t="shared" ca="1" si="0"/>
        <v/>
      </c>
    </row>
    <row r="52" spans="7:7" ht="17.100000000000001" customHeight="1">
      <c r="G52" s="6" t="str">
        <f t="shared" ca="1" si="0"/>
        <v/>
      </c>
    </row>
    <row r="53" spans="7:7" ht="17.100000000000001" customHeight="1">
      <c r="G53" s="6" t="str">
        <f t="shared" ca="1" si="0"/>
        <v/>
      </c>
    </row>
    <row r="54" spans="7:7" ht="17.100000000000001" customHeight="1">
      <c r="G54" s="6" t="str">
        <f t="shared" ca="1" si="0"/>
        <v/>
      </c>
    </row>
    <row r="55" spans="7:7" ht="17.100000000000001" customHeight="1">
      <c r="G55" s="6" t="str">
        <f t="shared" ca="1" si="0"/>
        <v/>
      </c>
    </row>
    <row r="56" spans="7:7" ht="17.100000000000001" customHeight="1">
      <c r="G56" s="6" t="str">
        <f t="shared" ca="1" si="0"/>
        <v/>
      </c>
    </row>
    <row r="57" spans="7:7" ht="17.100000000000001" customHeight="1">
      <c r="G57" s="6" t="str">
        <f t="shared" ca="1" si="0"/>
        <v/>
      </c>
    </row>
    <row r="58" spans="7:7" ht="17.100000000000001" customHeight="1">
      <c r="G58" s="6" t="str">
        <f t="shared" ca="1" si="0"/>
        <v/>
      </c>
    </row>
    <row r="59" spans="7:7" ht="17.100000000000001" customHeight="1">
      <c r="G59" s="6" t="str">
        <f t="shared" ca="1" si="0"/>
        <v/>
      </c>
    </row>
    <row r="60" spans="7:7" ht="17.100000000000001" customHeight="1">
      <c r="G60" s="6" t="str">
        <f t="shared" ca="1" si="0"/>
        <v/>
      </c>
    </row>
    <row r="61" spans="7:7" ht="17.100000000000001" customHeight="1">
      <c r="G61" s="6" t="str">
        <f t="shared" ca="1" si="0"/>
        <v/>
      </c>
    </row>
    <row r="62" spans="7:7" ht="17.100000000000001" customHeight="1">
      <c r="G62" s="6" t="str">
        <f t="shared" ca="1" si="0"/>
        <v/>
      </c>
    </row>
    <row r="63" spans="7:7" ht="17.100000000000001" customHeight="1">
      <c r="G63" s="6" t="str">
        <f t="shared" ca="1" si="0"/>
        <v/>
      </c>
    </row>
    <row r="64" spans="7:7" ht="17.100000000000001" customHeight="1">
      <c r="G64" s="6" t="str">
        <f t="shared" ca="1" si="0"/>
        <v/>
      </c>
    </row>
    <row r="65" spans="7:7" ht="17.100000000000001" customHeight="1">
      <c r="G65" s="6" t="str">
        <f t="shared" ca="1" si="0"/>
        <v/>
      </c>
    </row>
    <row r="66" spans="7:7" ht="17.100000000000001" customHeight="1">
      <c r="G66" s="6" t="str">
        <f t="shared" ca="1" si="0"/>
        <v/>
      </c>
    </row>
    <row r="67" spans="7:7" ht="17.100000000000001" customHeight="1">
      <c r="G67" s="6" t="str">
        <f t="shared" ca="1" si="0"/>
        <v/>
      </c>
    </row>
    <row r="68" spans="7:7" ht="17.100000000000001" customHeight="1">
      <c r="G68" s="6" t="str">
        <f t="shared" ca="1" si="0"/>
        <v/>
      </c>
    </row>
    <row r="69" spans="7:7" ht="17.100000000000001" customHeight="1">
      <c r="G69" s="6" t="str">
        <f t="shared" ca="1" si="0"/>
        <v/>
      </c>
    </row>
    <row r="70" spans="7:7" ht="17.100000000000001" customHeight="1">
      <c r="G70" s="6" t="str">
        <f t="shared" ca="1" si="0"/>
        <v/>
      </c>
    </row>
    <row r="71" spans="7:7" ht="17.100000000000001" customHeight="1">
      <c r="G71" s="6" t="str">
        <f t="shared" ca="1" si="0"/>
        <v/>
      </c>
    </row>
    <row r="72" spans="7:7" ht="17.100000000000001" customHeight="1">
      <c r="G72" s="6" t="str">
        <f t="shared" ca="1" si="0"/>
        <v/>
      </c>
    </row>
    <row r="73" spans="7:7" ht="17.100000000000001" customHeight="1">
      <c r="G73" s="6" t="str">
        <f t="shared" ca="1" si="0"/>
        <v/>
      </c>
    </row>
    <row r="74" spans="7:7" ht="17.100000000000001" customHeight="1">
      <c r="G74" s="6" t="str">
        <f t="shared" ca="1" si="0"/>
        <v/>
      </c>
    </row>
    <row r="75" spans="7:7" ht="17.100000000000001" customHeight="1">
      <c r="G75" s="6" t="str">
        <f t="shared" ca="1" si="0"/>
        <v/>
      </c>
    </row>
    <row r="76" spans="7:7" ht="17.100000000000001" customHeight="1">
      <c r="G76" s="6" t="str">
        <f t="shared" ca="1" si="0"/>
        <v/>
      </c>
    </row>
    <row r="77" spans="7:7" ht="17.100000000000001" customHeight="1">
      <c r="G77" s="6" t="str">
        <f t="shared" ca="1" si="0"/>
        <v/>
      </c>
    </row>
    <row r="78" spans="7:7" ht="17.100000000000001" customHeight="1">
      <c r="G78" s="6" t="str">
        <f t="shared" ca="1" si="0"/>
        <v/>
      </c>
    </row>
    <row r="79" spans="7:7" ht="17.100000000000001" customHeight="1">
      <c r="G79" s="6" t="str">
        <f t="shared" ca="1" si="0"/>
        <v/>
      </c>
    </row>
    <row r="80" spans="7:7" ht="17.100000000000001" customHeight="1">
      <c r="G80" s="6" t="str">
        <f t="shared" ca="1" si="0"/>
        <v/>
      </c>
    </row>
    <row r="81" spans="7:7" ht="17.100000000000001" customHeight="1">
      <c r="G81" s="6" t="str">
        <f t="shared" ca="1" si="0"/>
        <v/>
      </c>
    </row>
    <row r="82" spans="7:7" ht="17.100000000000001" customHeight="1">
      <c r="G82" s="6" t="str">
        <f t="shared" ca="1" si="0"/>
        <v/>
      </c>
    </row>
    <row r="83" spans="7:7" ht="17.100000000000001" customHeight="1">
      <c r="G83" s="6" t="str">
        <f t="shared" ca="1" si="0"/>
        <v/>
      </c>
    </row>
    <row r="84" spans="7:7" ht="17.100000000000001" customHeight="1">
      <c r="G84" s="6" t="str">
        <f t="shared" ca="1" si="0"/>
        <v/>
      </c>
    </row>
    <row r="85" spans="7:7" ht="17.100000000000001" customHeight="1">
      <c r="G85" s="6" t="str">
        <f t="shared" ca="1" si="0"/>
        <v/>
      </c>
    </row>
    <row r="86" spans="7:7" ht="17.100000000000001" customHeight="1">
      <c r="G86" s="6" t="str">
        <f t="shared" ref="G86:G149" ca="1" si="1">IF(A86="","",IF(A86="Static",C86,IF(D86="Day",C86*(IF(F86="",TODAY(),F86)-E86),IF(D86="Week",C86*((IF(F86="",TODAY(),F86)-E86)/7),IF(D86="Month",C86*(DATEDIF(E86,IF(F86="",TODAY(),F86),"m")+1),IF(D86="Year",C86*(DATEDIF(E86,IF(F86="",TODAY(),F86),"y")+1),0))))))</f>
        <v/>
      </c>
    </row>
    <row r="87" spans="7:7" ht="17.100000000000001" customHeight="1">
      <c r="G87" s="6" t="str">
        <f t="shared" ca="1" si="1"/>
        <v/>
      </c>
    </row>
    <row r="88" spans="7:7" ht="17.100000000000001" customHeight="1">
      <c r="G88" s="6" t="str">
        <f t="shared" ca="1" si="1"/>
        <v/>
      </c>
    </row>
    <row r="89" spans="7:7" ht="17.100000000000001" customHeight="1">
      <c r="G89" s="6" t="str">
        <f t="shared" ca="1" si="1"/>
        <v/>
      </c>
    </row>
    <row r="90" spans="7:7" ht="17.100000000000001" customHeight="1">
      <c r="G90" s="6" t="str">
        <f t="shared" ca="1" si="1"/>
        <v/>
      </c>
    </row>
    <row r="91" spans="7:7" ht="17.100000000000001" customHeight="1">
      <c r="G91" s="6" t="str">
        <f t="shared" ca="1" si="1"/>
        <v/>
      </c>
    </row>
    <row r="92" spans="7:7" ht="17.100000000000001" customHeight="1">
      <c r="G92" s="6" t="str">
        <f t="shared" ca="1" si="1"/>
        <v/>
      </c>
    </row>
    <row r="93" spans="7:7" ht="17.100000000000001" customHeight="1">
      <c r="G93" s="6" t="str">
        <f t="shared" ca="1" si="1"/>
        <v/>
      </c>
    </row>
    <row r="94" spans="7:7" ht="17.100000000000001" customHeight="1">
      <c r="G94" s="6" t="str">
        <f t="shared" ca="1" si="1"/>
        <v/>
      </c>
    </row>
    <row r="95" spans="7:7" ht="17.100000000000001" customHeight="1">
      <c r="G95" s="6" t="str">
        <f t="shared" ca="1" si="1"/>
        <v/>
      </c>
    </row>
    <row r="96" spans="7:7" ht="17.100000000000001" customHeight="1">
      <c r="G96" s="6" t="str">
        <f t="shared" ca="1" si="1"/>
        <v/>
      </c>
    </row>
    <row r="97" spans="7:7" ht="17.100000000000001" customHeight="1">
      <c r="G97" s="6" t="str">
        <f t="shared" ca="1" si="1"/>
        <v/>
      </c>
    </row>
    <row r="98" spans="7:7" ht="17.100000000000001" customHeight="1">
      <c r="G98" s="6" t="str">
        <f t="shared" ca="1" si="1"/>
        <v/>
      </c>
    </row>
    <row r="99" spans="7:7" ht="17.100000000000001" customHeight="1">
      <c r="G99" s="6" t="str">
        <f t="shared" ca="1" si="1"/>
        <v/>
      </c>
    </row>
    <row r="100" spans="7:7" ht="17.100000000000001" customHeight="1">
      <c r="G100" s="6" t="str">
        <f t="shared" ca="1" si="1"/>
        <v/>
      </c>
    </row>
    <row r="101" spans="7:7" ht="17.100000000000001" customHeight="1">
      <c r="G101" s="6" t="str">
        <f t="shared" ca="1" si="1"/>
        <v/>
      </c>
    </row>
    <row r="102" spans="7:7" ht="17.100000000000001" customHeight="1">
      <c r="G102" s="6" t="str">
        <f t="shared" ca="1" si="1"/>
        <v/>
      </c>
    </row>
    <row r="103" spans="7:7" ht="17.100000000000001" customHeight="1">
      <c r="G103" s="6" t="str">
        <f t="shared" ca="1" si="1"/>
        <v/>
      </c>
    </row>
    <row r="104" spans="7:7" ht="17.100000000000001" customHeight="1">
      <c r="G104" s="6" t="str">
        <f t="shared" ca="1" si="1"/>
        <v/>
      </c>
    </row>
    <row r="105" spans="7:7" ht="17.100000000000001" customHeight="1">
      <c r="G105" s="6" t="str">
        <f t="shared" ca="1" si="1"/>
        <v/>
      </c>
    </row>
    <row r="106" spans="7:7" ht="17.100000000000001" customHeight="1">
      <c r="G106" s="6" t="str">
        <f t="shared" ca="1" si="1"/>
        <v/>
      </c>
    </row>
    <row r="107" spans="7:7" ht="17.100000000000001" customHeight="1">
      <c r="G107" s="6" t="str">
        <f t="shared" ca="1" si="1"/>
        <v/>
      </c>
    </row>
    <row r="108" spans="7:7" ht="17.100000000000001" customHeight="1">
      <c r="G108" s="6" t="str">
        <f t="shared" ca="1" si="1"/>
        <v/>
      </c>
    </row>
    <row r="109" spans="7:7" ht="17.100000000000001" customHeight="1">
      <c r="G109" s="6" t="str">
        <f t="shared" ca="1" si="1"/>
        <v/>
      </c>
    </row>
    <row r="110" spans="7:7" ht="17.100000000000001" customHeight="1">
      <c r="G110" s="6" t="str">
        <f t="shared" ca="1" si="1"/>
        <v/>
      </c>
    </row>
    <row r="111" spans="7:7" ht="17.100000000000001" customHeight="1">
      <c r="G111" s="6" t="str">
        <f t="shared" ca="1" si="1"/>
        <v/>
      </c>
    </row>
    <row r="112" spans="7:7" ht="17.100000000000001" customHeight="1">
      <c r="G112" s="6" t="str">
        <f t="shared" ca="1" si="1"/>
        <v/>
      </c>
    </row>
    <row r="113" spans="7:7" ht="17.100000000000001" customHeight="1">
      <c r="G113" s="6" t="str">
        <f t="shared" ca="1" si="1"/>
        <v/>
      </c>
    </row>
    <row r="114" spans="7:7" ht="17.100000000000001" customHeight="1">
      <c r="G114" s="6" t="str">
        <f t="shared" ca="1" si="1"/>
        <v/>
      </c>
    </row>
    <row r="115" spans="7:7" ht="17.100000000000001" customHeight="1">
      <c r="G115" s="6" t="str">
        <f t="shared" ca="1" si="1"/>
        <v/>
      </c>
    </row>
    <row r="116" spans="7:7" ht="17.100000000000001" customHeight="1">
      <c r="G116" s="6" t="str">
        <f t="shared" ca="1" si="1"/>
        <v/>
      </c>
    </row>
    <row r="117" spans="7:7" ht="17.100000000000001" customHeight="1">
      <c r="G117" s="6" t="str">
        <f t="shared" ca="1" si="1"/>
        <v/>
      </c>
    </row>
    <row r="118" spans="7:7" ht="17.100000000000001" customHeight="1">
      <c r="G118" s="6" t="str">
        <f t="shared" ca="1" si="1"/>
        <v/>
      </c>
    </row>
    <row r="119" spans="7:7" ht="17.100000000000001" customHeight="1">
      <c r="G119" s="6" t="str">
        <f t="shared" ca="1" si="1"/>
        <v/>
      </c>
    </row>
    <row r="120" spans="7:7" ht="17.100000000000001" customHeight="1">
      <c r="G120" s="6" t="str">
        <f t="shared" ca="1" si="1"/>
        <v/>
      </c>
    </row>
    <row r="121" spans="7:7" ht="17.100000000000001" customHeight="1">
      <c r="G121" s="6" t="str">
        <f t="shared" ca="1" si="1"/>
        <v/>
      </c>
    </row>
    <row r="122" spans="7:7" ht="17.100000000000001" customHeight="1">
      <c r="G122" s="6" t="str">
        <f t="shared" ca="1" si="1"/>
        <v/>
      </c>
    </row>
    <row r="123" spans="7:7" ht="17.100000000000001" customHeight="1">
      <c r="G123" s="6" t="str">
        <f t="shared" ca="1" si="1"/>
        <v/>
      </c>
    </row>
    <row r="124" spans="7:7" ht="17.100000000000001" customHeight="1">
      <c r="G124" s="6" t="str">
        <f t="shared" ca="1" si="1"/>
        <v/>
      </c>
    </row>
    <row r="125" spans="7:7" ht="17.100000000000001" customHeight="1">
      <c r="G125" s="6" t="str">
        <f t="shared" ca="1" si="1"/>
        <v/>
      </c>
    </row>
    <row r="126" spans="7:7" ht="17.100000000000001" customHeight="1">
      <c r="G126" s="6" t="str">
        <f t="shared" ca="1" si="1"/>
        <v/>
      </c>
    </row>
    <row r="127" spans="7:7" ht="17.100000000000001" customHeight="1">
      <c r="G127" s="6" t="str">
        <f t="shared" ca="1" si="1"/>
        <v/>
      </c>
    </row>
    <row r="128" spans="7:7" ht="17.100000000000001" customHeight="1">
      <c r="G128" s="6" t="str">
        <f t="shared" ca="1" si="1"/>
        <v/>
      </c>
    </row>
    <row r="129" spans="7:7" ht="17.100000000000001" customHeight="1">
      <c r="G129" s="6" t="str">
        <f t="shared" ca="1" si="1"/>
        <v/>
      </c>
    </row>
    <row r="130" spans="7:7" ht="17.100000000000001" customHeight="1">
      <c r="G130" s="6" t="str">
        <f t="shared" ca="1" si="1"/>
        <v/>
      </c>
    </row>
    <row r="131" spans="7:7" ht="17.100000000000001" customHeight="1">
      <c r="G131" s="6" t="str">
        <f t="shared" ca="1" si="1"/>
        <v/>
      </c>
    </row>
    <row r="132" spans="7:7" ht="17.100000000000001" customHeight="1">
      <c r="G132" s="6" t="str">
        <f t="shared" ca="1" si="1"/>
        <v/>
      </c>
    </row>
    <row r="133" spans="7:7" ht="17.100000000000001" customHeight="1">
      <c r="G133" s="6" t="str">
        <f t="shared" ca="1" si="1"/>
        <v/>
      </c>
    </row>
    <row r="134" spans="7:7" ht="17.100000000000001" customHeight="1">
      <c r="G134" s="6" t="str">
        <f t="shared" ca="1" si="1"/>
        <v/>
      </c>
    </row>
    <row r="135" spans="7:7" ht="17.100000000000001" customHeight="1">
      <c r="G135" s="6" t="str">
        <f t="shared" ca="1" si="1"/>
        <v/>
      </c>
    </row>
    <row r="136" spans="7:7" ht="17.100000000000001" customHeight="1">
      <c r="G136" s="6" t="str">
        <f t="shared" ca="1" si="1"/>
        <v/>
      </c>
    </row>
    <row r="137" spans="7:7" ht="17.100000000000001" customHeight="1">
      <c r="G137" s="6" t="str">
        <f t="shared" ca="1" si="1"/>
        <v/>
      </c>
    </row>
    <row r="138" spans="7:7" ht="17.100000000000001" customHeight="1">
      <c r="G138" s="6" t="str">
        <f t="shared" ca="1" si="1"/>
        <v/>
      </c>
    </row>
    <row r="139" spans="7:7" ht="17.100000000000001" customHeight="1">
      <c r="G139" s="6" t="str">
        <f t="shared" ca="1" si="1"/>
        <v/>
      </c>
    </row>
    <row r="140" spans="7:7" ht="17.100000000000001" customHeight="1">
      <c r="G140" s="6" t="str">
        <f t="shared" ca="1" si="1"/>
        <v/>
      </c>
    </row>
    <row r="141" spans="7:7" ht="17.100000000000001" customHeight="1">
      <c r="G141" s="6" t="str">
        <f t="shared" ca="1" si="1"/>
        <v/>
      </c>
    </row>
    <row r="142" spans="7:7" ht="17.100000000000001" customHeight="1">
      <c r="G142" s="6" t="str">
        <f t="shared" ca="1" si="1"/>
        <v/>
      </c>
    </row>
    <row r="143" spans="7:7" ht="17.100000000000001" customHeight="1">
      <c r="G143" s="6" t="str">
        <f t="shared" ca="1" si="1"/>
        <v/>
      </c>
    </row>
    <row r="144" spans="7:7" ht="17.100000000000001" customHeight="1">
      <c r="G144" s="6" t="str">
        <f t="shared" ca="1" si="1"/>
        <v/>
      </c>
    </row>
    <row r="145" spans="7:7" ht="17.100000000000001" customHeight="1">
      <c r="G145" s="6" t="str">
        <f t="shared" ca="1" si="1"/>
        <v/>
      </c>
    </row>
    <row r="146" spans="7:7" ht="17.100000000000001" customHeight="1">
      <c r="G146" s="6" t="str">
        <f t="shared" ca="1" si="1"/>
        <v/>
      </c>
    </row>
    <row r="147" spans="7:7" ht="17.100000000000001" customHeight="1">
      <c r="G147" s="6" t="str">
        <f t="shared" ca="1" si="1"/>
        <v/>
      </c>
    </row>
    <row r="148" spans="7:7" ht="17.100000000000001" customHeight="1">
      <c r="G148" s="6" t="str">
        <f t="shared" ca="1" si="1"/>
        <v/>
      </c>
    </row>
    <row r="149" spans="7:7" ht="17.100000000000001" customHeight="1">
      <c r="G149" s="6" t="str">
        <f t="shared" ca="1" si="1"/>
        <v/>
      </c>
    </row>
    <row r="150" spans="7:7" ht="17.100000000000001" customHeight="1">
      <c r="G150" s="6" t="str">
        <f t="shared" ref="G150:G213" ca="1" si="2">IF(A150="","",IF(A150="Static",C150,IF(D150="Day",C150*(IF(F150="",TODAY(),F150)-E150),IF(D150="Week",C150*((IF(F150="",TODAY(),F150)-E150)/7),IF(D150="Month",C150*(DATEDIF(E150,IF(F150="",TODAY(),F150),"m")+1),IF(D150="Year",C150*(DATEDIF(E150,IF(F150="",TODAY(),F150),"y")+1),0))))))</f>
        <v/>
      </c>
    </row>
    <row r="151" spans="7:7" ht="17.100000000000001" customHeight="1">
      <c r="G151" s="6" t="str">
        <f t="shared" ca="1" si="2"/>
        <v/>
      </c>
    </row>
    <row r="152" spans="7:7" ht="17.100000000000001" customHeight="1">
      <c r="G152" s="6" t="str">
        <f t="shared" ca="1" si="2"/>
        <v/>
      </c>
    </row>
    <row r="153" spans="7:7" ht="17.100000000000001" customHeight="1">
      <c r="G153" s="6" t="str">
        <f t="shared" ca="1" si="2"/>
        <v/>
      </c>
    </row>
    <row r="154" spans="7:7" ht="17.100000000000001" customHeight="1">
      <c r="G154" s="6" t="str">
        <f t="shared" ca="1" si="2"/>
        <v/>
      </c>
    </row>
    <row r="155" spans="7:7" ht="17.100000000000001" customHeight="1">
      <c r="G155" s="6" t="str">
        <f t="shared" ca="1" si="2"/>
        <v/>
      </c>
    </row>
    <row r="156" spans="7:7" ht="17.100000000000001" customHeight="1">
      <c r="G156" s="6" t="str">
        <f t="shared" ca="1" si="2"/>
        <v/>
      </c>
    </row>
    <row r="157" spans="7:7" ht="17.100000000000001" customHeight="1">
      <c r="G157" s="6" t="str">
        <f t="shared" ca="1" si="2"/>
        <v/>
      </c>
    </row>
    <row r="158" spans="7:7" ht="17.100000000000001" customHeight="1">
      <c r="G158" s="6" t="str">
        <f t="shared" ca="1" si="2"/>
        <v/>
      </c>
    </row>
    <row r="159" spans="7:7" ht="17.100000000000001" customHeight="1">
      <c r="G159" s="6" t="str">
        <f t="shared" ca="1" si="2"/>
        <v/>
      </c>
    </row>
    <row r="160" spans="7:7" ht="17.100000000000001" customHeight="1">
      <c r="G160" s="6" t="str">
        <f t="shared" ca="1" si="2"/>
        <v/>
      </c>
    </row>
    <row r="161" spans="7:7" ht="17.100000000000001" customHeight="1">
      <c r="G161" s="6" t="str">
        <f t="shared" ca="1" si="2"/>
        <v/>
      </c>
    </row>
    <row r="162" spans="7:7" ht="17.100000000000001" customHeight="1">
      <c r="G162" s="6" t="str">
        <f t="shared" ca="1" si="2"/>
        <v/>
      </c>
    </row>
    <row r="163" spans="7:7" ht="17.100000000000001" customHeight="1">
      <c r="G163" s="6" t="str">
        <f t="shared" ca="1" si="2"/>
        <v/>
      </c>
    </row>
    <row r="164" spans="7:7" ht="17.100000000000001" customHeight="1">
      <c r="G164" s="6" t="str">
        <f t="shared" ca="1" si="2"/>
        <v/>
      </c>
    </row>
    <row r="165" spans="7:7" ht="17.100000000000001" customHeight="1">
      <c r="G165" s="6" t="str">
        <f t="shared" ca="1" si="2"/>
        <v/>
      </c>
    </row>
    <row r="166" spans="7:7" ht="17.100000000000001" customHeight="1">
      <c r="G166" s="6" t="str">
        <f t="shared" ca="1" si="2"/>
        <v/>
      </c>
    </row>
    <row r="167" spans="7:7" ht="17.100000000000001" customHeight="1">
      <c r="G167" s="6" t="str">
        <f t="shared" ca="1" si="2"/>
        <v/>
      </c>
    </row>
    <row r="168" spans="7:7" ht="17.100000000000001" customHeight="1">
      <c r="G168" s="6" t="str">
        <f t="shared" ca="1" si="2"/>
        <v/>
      </c>
    </row>
    <row r="169" spans="7:7" ht="17.100000000000001" customHeight="1">
      <c r="G169" s="6" t="str">
        <f t="shared" ca="1" si="2"/>
        <v/>
      </c>
    </row>
    <row r="170" spans="7:7" ht="17.100000000000001" customHeight="1">
      <c r="G170" s="6" t="str">
        <f t="shared" ca="1" si="2"/>
        <v/>
      </c>
    </row>
    <row r="171" spans="7:7" ht="17.100000000000001" customHeight="1">
      <c r="G171" s="6" t="str">
        <f t="shared" ca="1" si="2"/>
        <v/>
      </c>
    </row>
    <row r="172" spans="7:7" ht="17.100000000000001" customHeight="1">
      <c r="G172" s="6" t="str">
        <f t="shared" ca="1" si="2"/>
        <v/>
      </c>
    </row>
    <row r="173" spans="7:7" ht="17.100000000000001" customHeight="1">
      <c r="G173" s="6" t="str">
        <f t="shared" ca="1" si="2"/>
        <v/>
      </c>
    </row>
    <row r="174" spans="7:7" ht="17.100000000000001" customHeight="1">
      <c r="G174" s="6" t="str">
        <f t="shared" ca="1" si="2"/>
        <v/>
      </c>
    </row>
    <row r="175" spans="7:7" ht="17.100000000000001" customHeight="1">
      <c r="G175" s="6" t="str">
        <f t="shared" ca="1" si="2"/>
        <v/>
      </c>
    </row>
    <row r="176" spans="7:7" ht="17.100000000000001" customHeight="1">
      <c r="G176" s="6" t="str">
        <f t="shared" ca="1" si="2"/>
        <v/>
      </c>
    </row>
    <row r="177" spans="7:7" ht="17.100000000000001" customHeight="1">
      <c r="G177" s="6" t="str">
        <f t="shared" ca="1" si="2"/>
        <v/>
      </c>
    </row>
    <row r="178" spans="7:7" ht="17.100000000000001" customHeight="1">
      <c r="G178" s="6" t="str">
        <f t="shared" ca="1" si="2"/>
        <v/>
      </c>
    </row>
    <row r="179" spans="7:7" ht="17.100000000000001" customHeight="1">
      <c r="G179" s="6" t="str">
        <f t="shared" ca="1" si="2"/>
        <v/>
      </c>
    </row>
    <row r="180" spans="7:7" ht="17.100000000000001" customHeight="1">
      <c r="G180" s="6" t="str">
        <f t="shared" ca="1" si="2"/>
        <v/>
      </c>
    </row>
    <row r="181" spans="7:7" ht="17.100000000000001" customHeight="1">
      <c r="G181" s="6" t="str">
        <f t="shared" ca="1" si="2"/>
        <v/>
      </c>
    </row>
    <row r="182" spans="7:7" ht="17.100000000000001" customHeight="1">
      <c r="G182" s="6" t="str">
        <f t="shared" ca="1" si="2"/>
        <v/>
      </c>
    </row>
    <row r="183" spans="7:7" ht="17.100000000000001" customHeight="1">
      <c r="G183" s="6" t="str">
        <f t="shared" ca="1" si="2"/>
        <v/>
      </c>
    </row>
    <row r="184" spans="7:7" ht="17.100000000000001" customHeight="1">
      <c r="G184" s="6" t="str">
        <f t="shared" ca="1" si="2"/>
        <v/>
      </c>
    </row>
    <row r="185" spans="7:7" ht="17.100000000000001" customHeight="1">
      <c r="G185" s="6" t="str">
        <f t="shared" ca="1" si="2"/>
        <v/>
      </c>
    </row>
    <row r="186" spans="7:7" ht="17.100000000000001" customHeight="1">
      <c r="G186" s="6" t="str">
        <f t="shared" ca="1" si="2"/>
        <v/>
      </c>
    </row>
    <row r="187" spans="7:7" ht="17.100000000000001" customHeight="1">
      <c r="G187" s="6" t="str">
        <f t="shared" ca="1" si="2"/>
        <v/>
      </c>
    </row>
    <row r="188" spans="7:7" ht="17.100000000000001" customHeight="1">
      <c r="G188" s="6" t="str">
        <f t="shared" ca="1" si="2"/>
        <v/>
      </c>
    </row>
    <row r="189" spans="7:7" ht="17.100000000000001" customHeight="1">
      <c r="G189" s="6" t="str">
        <f t="shared" ca="1" si="2"/>
        <v/>
      </c>
    </row>
    <row r="190" spans="7:7" ht="17.100000000000001" customHeight="1">
      <c r="G190" s="6" t="str">
        <f t="shared" ca="1" si="2"/>
        <v/>
      </c>
    </row>
    <row r="191" spans="7:7" ht="17.100000000000001" customHeight="1">
      <c r="G191" s="6" t="str">
        <f t="shared" ca="1" si="2"/>
        <v/>
      </c>
    </row>
    <row r="192" spans="7:7" ht="17.100000000000001" customHeight="1">
      <c r="G192" s="6" t="str">
        <f t="shared" ca="1" si="2"/>
        <v/>
      </c>
    </row>
    <row r="193" spans="7:7" ht="17.100000000000001" customHeight="1">
      <c r="G193" s="6" t="str">
        <f t="shared" ca="1" si="2"/>
        <v/>
      </c>
    </row>
    <row r="194" spans="7:7" ht="17.100000000000001" customHeight="1">
      <c r="G194" s="6" t="str">
        <f t="shared" ca="1" si="2"/>
        <v/>
      </c>
    </row>
    <row r="195" spans="7:7" ht="17.100000000000001" customHeight="1">
      <c r="G195" s="6" t="str">
        <f t="shared" ca="1" si="2"/>
        <v/>
      </c>
    </row>
    <row r="196" spans="7:7" ht="17.100000000000001" customHeight="1">
      <c r="G196" s="6" t="str">
        <f t="shared" ca="1" si="2"/>
        <v/>
      </c>
    </row>
    <row r="197" spans="7:7" ht="17.100000000000001" customHeight="1">
      <c r="G197" s="6" t="str">
        <f t="shared" ca="1" si="2"/>
        <v/>
      </c>
    </row>
    <row r="198" spans="7:7" ht="17.100000000000001" customHeight="1">
      <c r="G198" s="6" t="str">
        <f t="shared" ca="1" si="2"/>
        <v/>
      </c>
    </row>
    <row r="199" spans="7:7" ht="17.100000000000001" customHeight="1">
      <c r="G199" s="6" t="str">
        <f t="shared" ca="1" si="2"/>
        <v/>
      </c>
    </row>
    <row r="200" spans="7:7" ht="17.100000000000001" customHeight="1">
      <c r="G200" s="6" t="str">
        <f t="shared" ca="1" si="2"/>
        <v/>
      </c>
    </row>
    <row r="201" spans="7:7" ht="17.100000000000001" customHeight="1">
      <c r="G201" s="6" t="str">
        <f t="shared" ca="1" si="2"/>
        <v/>
      </c>
    </row>
    <row r="202" spans="7:7" ht="17.100000000000001" customHeight="1">
      <c r="G202" s="6" t="str">
        <f t="shared" ca="1" si="2"/>
        <v/>
      </c>
    </row>
    <row r="203" spans="7:7" ht="17.100000000000001" customHeight="1">
      <c r="G203" s="6" t="str">
        <f t="shared" ca="1" si="2"/>
        <v/>
      </c>
    </row>
    <row r="204" spans="7:7" ht="17.100000000000001" customHeight="1">
      <c r="G204" s="6" t="str">
        <f t="shared" ca="1" si="2"/>
        <v/>
      </c>
    </row>
    <row r="205" spans="7:7" ht="17.100000000000001" customHeight="1">
      <c r="G205" s="6" t="str">
        <f t="shared" ca="1" si="2"/>
        <v/>
      </c>
    </row>
    <row r="206" spans="7:7" ht="17.100000000000001" customHeight="1">
      <c r="G206" s="6" t="str">
        <f t="shared" ca="1" si="2"/>
        <v/>
      </c>
    </row>
    <row r="207" spans="7:7" ht="17.100000000000001" customHeight="1">
      <c r="G207" s="6" t="str">
        <f t="shared" ca="1" si="2"/>
        <v/>
      </c>
    </row>
    <row r="208" spans="7:7" ht="17.100000000000001" customHeight="1">
      <c r="G208" s="6" t="str">
        <f t="shared" ca="1" si="2"/>
        <v/>
      </c>
    </row>
    <row r="209" spans="7:7" ht="17.100000000000001" customHeight="1">
      <c r="G209" s="6" t="str">
        <f t="shared" ca="1" si="2"/>
        <v/>
      </c>
    </row>
    <row r="210" spans="7:7" ht="17.100000000000001" customHeight="1">
      <c r="G210" s="6" t="str">
        <f t="shared" ca="1" si="2"/>
        <v/>
      </c>
    </row>
    <row r="211" spans="7:7" ht="17.100000000000001" customHeight="1">
      <c r="G211" s="6" t="str">
        <f t="shared" ca="1" si="2"/>
        <v/>
      </c>
    </row>
    <row r="212" spans="7:7" ht="17.100000000000001" customHeight="1">
      <c r="G212" s="6" t="str">
        <f t="shared" ca="1" si="2"/>
        <v/>
      </c>
    </row>
    <row r="213" spans="7:7" ht="17.100000000000001" customHeight="1">
      <c r="G213" s="6" t="str">
        <f t="shared" ca="1" si="2"/>
        <v/>
      </c>
    </row>
    <row r="214" spans="7:7" ht="17.100000000000001" customHeight="1">
      <c r="G214" s="6" t="str">
        <f t="shared" ref="G214:G277" ca="1" si="3">IF(A214="","",IF(A214="Static",C214,IF(D214="Day",C214*(IF(F214="",TODAY(),F214)-E214),IF(D214="Week",C214*((IF(F214="",TODAY(),F214)-E214)/7),IF(D214="Month",C214*(DATEDIF(E214,IF(F214="",TODAY(),F214),"m")+1),IF(D214="Year",C214*(DATEDIF(E214,IF(F214="",TODAY(),F214),"y")+1),0))))))</f>
        <v/>
      </c>
    </row>
    <row r="215" spans="7:7" ht="17.100000000000001" customHeight="1">
      <c r="G215" s="6" t="str">
        <f t="shared" ca="1" si="3"/>
        <v/>
      </c>
    </row>
    <row r="216" spans="7:7" ht="17.100000000000001" customHeight="1">
      <c r="G216" s="6" t="str">
        <f t="shared" ca="1" si="3"/>
        <v/>
      </c>
    </row>
    <row r="217" spans="7:7" ht="17.100000000000001" customHeight="1">
      <c r="G217" s="6" t="str">
        <f t="shared" ca="1" si="3"/>
        <v/>
      </c>
    </row>
    <row r="218" spans="7:7" ht="17.100000000000001" customHeight="1">
      <c r="G218" s="6" t="str">
        <f t="shared" ca="1" si="3"/>
        <v/>
      </c>
    </row>
    <row r="219" spans="7:7" ht="17.100000000000001" customHeight="1">
      <c r="G219" s="6" t="str">
        <f t="shared" ca="1" si="3"/>
        <v/>
      </c>
    </row>
    <row r="220" spans="7:7" ht="17.100000000000001" customHeight="1">
      <c r="G220" s="6" t="str">
        <f t="shared" ca="1" si="3"/>
        <v/>
      </c>
    </row>
    <row r="221" spans="7:7" ht="17.100000000000001" customHeight="1">
      <c r="G221" s="6" t="str">
        <f t="shared" ca="1" si="3"/>
        <v/>
      </c>
    </row>
    <row r="222" spans="7:7" ht="17.100000000000001" customHeight="1">
      <c r="G222" s="6" t="str">
        <f t="shared" ca="1" si="3"/>
        <v/>
      </c>
    </row>
    <row r="223" spans="7:7" ht="17.100000000000001" customHeight="1">
      <c r="G223" s="6" t="str">
        <f t="shared" ca="1" si="3"/>
        <v/>
      </c>
    </row>
    <row r="224" spans="7:7" ht="17.100000000000001" customHeight="1">
      <c r="G224" s="6" t="str">
        <f t="shared" ca="1" si="3"/>
        <v/>
      </c>
    </row>
    <row r="225" spans="7:7" ht="17.100000000000001" customHeight="1">
      <c r="G225" s="6" t="str">
        <f t="shared" ca="1" si="3"/>
        <v/>
      </c>
    </row>
    <row r="226" spans="7:7" ht="17.100000000000001" customHeight="1">
      <c r="G226" s="6" t="str">
        <f t="shared" ca="1" si="3"/>
        <v/>
      </c>
    </row>
    <row r="227" spans="7:7" ht="17.100000000000001" customHeight="1">
      <c r="G227" s="6" t="str">
        <f t="shared" ca="1" si="3"/>
        <v/>
      </c>
    </row>
    <row r="228" spans="7:7" ht="17.100000000000001" customHeight="1">
      <c r="G228" s="6" t="str">
        <f t="shared" ca="1" si="3"/>
        <v/>
      </c>
    </row>
    <row r="229" spans="7:7" ht="17.100000000000001" customHeight="1">
      <c r="G229" s="6" t="str">
        <f t="shared" ca="1" si="3"/>
        <v/>
      </c>
    </row>
    <row r="230" spans="7:7" ht="17.100000000000001" customHeight="1">
      <c r="G230" s="6" t="str">
        <f t="shared" ca="1" si="3"/>
        <v/>
      </c>
    </row>
    <row r="231" spans="7:7" ht="17.100000000000001" customHeight="1">
      <c r="G231" s="6" t="str">
        <f t="shared" ca="1" si="3"/>
        <v/>
      </c>
    </row>
    <row r="232" spans="7:7" ht="17.100000000000001" customHeight="1">
      <c r="G232" s="6" t="str">
        <f t="shared" ca="1" si="3"/>
        <v/>
      </c>
    </row>
    <row r="233" spans="7:7" ht="17.100000000000001" customHeight="1">
      <c r="G233" s="6" t="str">
        <f t="shared" ca="1" si="3"/>
        <v/>
      </c>
    </row>
    <row r="234" spans="7:7" ht="17.100000000000001" customHeight="1">
      <c r="G234" s="6" t="str">
        <f t="shared" ca="1" si="3"/>
        <v/>
      </c>
    </row>
    <row r="235" spans="7:7" ht="17.100000000000001" customHeight="1">
      <c r="G235" s="6" t="str">
        <f t="shared" ca="1" si="3"/>
        <v/>
      </c>
    </row>
    <row r="236" spans="7:7" ht="17.100000000000001" customHeight="1">
      <c r="G236" s="6" t="str">
        <f t="shared" ca="1" si="3"/>
        <v/>
      </c>
    </row>
    <row r="237" spans="7:7" ht="17.100000000000001" customHeight="1">
      <c r="G237" s="6" t="str">
        <f t="shared" ca="1" si="3"/>
        <v/>
      </c>
    </row>
    <row r="238" spans="7:7" ht="17.100000000000001" customHeight="1">
      <c r="G238" s="6" t="str">
        <f t="shared" ca="1" si="3"/>
        <v/>
      </c>
    </row>
    <row r="239" spans="7:7" ht="17.100000000000001" customHeight="1">
      <c r="G239" s="6" t="str">
        <f t="shared" ca="1" si="3"/>
        <v/>
      </c>
    </row>
    <row r="240" spans="7:7" ht="17.100000000000001" customHeight="1">
      <c r="G240" s="6" t="str">
        <f t="shared" ca="1" si="3"/>
        <v/>
      </c>
    </row>
    <row r="241" spans="7:7" ht="17.100000000000001" customHeight="1">
      <c r="G241" s="6" t="str">
        <f t="shared" ca="1" si="3"/>
        <v/>
      </c>
    </row>
    <row r="242" spans="7:7" ht="17.100000000000001" customHeight="1">
      <c r="G242" s="6" t="str">
        <f t="shared" ca="1" si="3"/>
        <v/>
      </c>
    </row>
    <row r="243" spans="7:7" ht="17.100000000000001" customHeight="1">
      <c r="G243" s="6" t="str">
        <f t="shared" ca="1" si="3"/>
        <v/>
      </c>
    </row>
    <row r="244" spans="7:7" ht="17.100000000000001" customHeight="1">
      <c r="G244" s="6" t="str">
        <f t="shared" ca="1" si="3"/>
        <v/>
      </c>
    </row>
    <row r="245" spans="7:7" ht="17.100000000000001" customHeight="1">
      <c r="G245" s="6" t="str">
        <f t="shared" ca="1" si="3"/>
        <v/>
      </c>
    </row>
    <row r="246" spans="7:7" ht="17.100000000000001" customHeight="1">
      <c r="G246" s="6" t="str">
        <f t="shared" ca="1" si="3"/>
        <v/>
      </c>
    </row>
    <row r="247" spans="7:7" ht="17.100000000000001" customHeight="1">
      <c r="G247" s="6" t="str">
        <f t="shared" ca="1" si="3"/>
        <v/>
      </c>
    </row>
    <row r="248" spans="7:7" ht="17.100000000000001" customHeight="1">
      <c r="G248" s="6" t="str">
        <f t="shared" ca="1" si="3"/>
        <v/>
      </c>
    </row>
    <row r="249" spans="7:7" ht="17.100000000000001" customHeight="1">
      <c r="G249" s="6" t="str">
        <f t="shared" ca="1" si="3"/>
        <v/>
      </c>
    </row>
    <row r="250" spans="7:7" ht="17.100000000000001" customHeight="1">
      <c r="G250" s="6" t="str">
        <f t="shared" ca="1" si="3"/>
        <v/>
      </c>
    </row>
    <row r="251" spans="7:7" ht="17.100000000000001" customHeight="1">
      <c r="G251" s="6" t="str">
        <f t="shared" ca="1" si="3"/>
        <v/>
      </c>
    </row>
    <row r="252" spans="7:7" ht="17.100000000000001" customHeight="1">
      <c r="G252" s="6" t="str">
        <f t="shared" ca="1" si="3"/>
        <v/>
      </c>
    </row>
    <row r="253" spans="7:7" ht="17.100000000000001" customHeight="1">
      <c r="G253" s="6" t="str">
        <f t="shared" ca="1" si="3"/>
        <v/>
      </c>
    </row>
    <row r="254" spans="7:7" ht="17.100000000000001" customHeight="1">
      <c r="G254" s="6" t="str">
        <f t="shared" ca="1" si="3"/>
        <v/>
      </c>
    </row>
    <row r="255" spans="7:7" ht="17.100000000000001" customHeight="1">
      <c r="G255" s="6" t="str">
        <f t="shared" ca="1" si="3"/>
        <v/>
      </c>
    </row>
    <row r="256" spans="7:7" ht="17.100000000000001" customHeight="1">
      <c r="G256" s="6" t="str">
        <f t="shared" ca="1" si="3"/>
        <v/>
      </c>
    </row>
    <row r="257" spans="7:7" ht="17.100000000000001" customHeight="1">
      <c r="G257" s="6" t="str">
        <f t="shared" ca="1" si="3"/>
        <v/>
      </c>
    </row>
    <row r="258" spans="7:7" ht="17.100000000000001" customHeight="1">
      <c r="G258" s="6" t="str">
        <f t="shared" ca="1" si="3"/>
        <v/>
      </c>
    </row>
    <row r="259" spans="7:7" ht="17.100000000000001" customHeight="1">
      <c r="G259" s="6" t="str">
        <f t="shared" ca="1" si="3"/>
        <v/>
      </c>
    </row>
    <row r="260" spans="7:7" ht="17.100000000000001" customHeight="1">
      <c r="G260" s="6" t="str">
        <f t="shared" ca="1" si="3"/>
        <v/>
      </c>
    </row>
    <row r="261" spans="7:7" ht="17.100000000000001" customHeight="1">
      <c r="G261" s="6" t="str">
        <f t="shared" ca="1" si="3"/>
        <v/>
      </c>
    </row>
    <row r="262" spans="7:7" ht="17.100000000000001" customHeight="1">
      <c r="G262" s="6" t="str">
        <f t="shared" ca="1" si="3"/>
        <v/>
      </c>
    </row>
    <row r="263" spans="7:7" ht="17.100000000000001" customHeight="1">
      <c r="G263" s="6" t="str">
        <f t="shared" ca="1" si="3"/>
        <v/>
      </c>
    </row>
    <row r="264" spans="7:7" ht="17.100000000000001" customHeight="1">
      <c r="G264" s="6" t="str">
        <f t="shared" ca="1" si="3"/>
        <v/>
      </c>
    </row>
    <row r="265" spans="7:7" ht="17.100000000000001" customHeight="1">
      <c r="G265" s="6" t="str">
        <f t="shared" ca="1" si="3"/>
        <v/>
      </c>
    </row>
    <row r="266" spans="7:7" ht="17.100000000000001" customHeight="1">
      <c r="G266" s="6" t="str">
        <f t="shared" ca="1" si="3"/>
        <v/>
      </c>
    </row>
    <row r="267" spans="7:7" ht="17.100000000000001" customHeight="1">
      <c r="G267" s="6" t="str">
        <f t="shared" ca="1" si="3"/>
        <v/>
      </c>
    </row>
    <row r="268" spans="7:7" ht="17.100000000000001" customHeight="1">
      <c r="G268" s="6" t="str">
        <f t="shared" ca="1" si="3"/>
        <v/>
      </c>
    </row>
    <row r="269" spans="7:7" ht="17.100000000000001" customHeight="1">
      <c r="G269" s="6" t="str">
        <f t="shared" ca="1" si="3"/>
        <v/>
      </c>
    </row>
    <row r="270" spans="7:7" ht="17.100000000000001" customHeight="1">
      <c r="G270" s="6" t="str">
        <f t="shared" ca="1" si="3"/>
        <v/>
      </c>
    </row>
    <row r="271" spans="7:7" ht="17.100000000000001" customHeight="1">
      <c r="G271" s="6" t="str">
        <f t="shared" ca="1" si="3"/>
        <v/>
      </c>
    </row>
    <row r="272" spans="7:7" ht="17.100000000000001" customHeight="1">
      <c r="G272" s="6" t="str">
        <f t="shared" ca="1" si="3"/>
        <v/>
      </c>
    </row>
    <row r="273" spans="7:7" ht="17.100000000000001" customHeight="1">
      <c r="G273" s="6" t="str">
        <f t="shared" ca="1" si="3"/>
        <v/>
      </c>
    </row>
    <row r="274" spans="7:7" ht="17.100000000000001" customHeight="1">
      <c r="G274" s="6" t="str">
        <f t="shared" ca="1" si="3"/>
        <v/>
      </c>
    </row>
    <row r="275" spans="7:7" ht="17.100000000000001" customHeight="1">
      <c r="G275" s="6" t="str">
        <f t="shared" ca="1" si="3"/>
        <v/>
      </c>
    </row>
    <row r="276" spans="7:7" ht="17.100000000000001" customHeight="1">
      <c r="G276" s="6" t="str">
        <f t="shared" ca="1" si="3"/>
        <v/>
      </c>
    </row>
    <row r="277" spans="7:7" ht="17.100000000000001" customHeight="1">
      <c r="G277" s="6" t="str">
        <f t="shared" ca="1" si="3"/>
        <v/>
      </c>
    </row>
    <row r="278" spans="7:7" ht="17.100000000000001" customHeight="1">
      <c r="G278" s="6" t="str">
        <f t="shared" ref="G278:G341" ca="1" si="4">IF(A278="","",IF(A278="Static",C278,IF(D278="Day",C278*(IF(F278="",TODAY(),F278)-E278),IF(D278="Week",C278*((IF(F278="",TODAY(),F278)-E278)/7),IF(D278="Month",C278*(DATEDIF(E278,IF(F278="",TODAY(),F278),"m")+1),IF(D278="Year",C278*(DATEDIF(E278,IF(F278="",TODAY(),F278),"y")+1),0))))))</f>
        <v/>
      </c>
    </row>
    <row r="279" spans="7:7" ht="17.100000000000001" customHeight="1">
      <c r="G279" s="6" t="str">
        <f t="shared" ca="1" si="4"/>
        <v/>
      </c>
    </row>
    <row r="280" spans="7:7" ht="17.100000000000001" customHeight="1">
      <c r="G280" s="6" t="str">
        <f t="shared" ca="1" si="4"/>
        <v/>
      </c>
    </row>
    <row r="281" spans="7:7" ht="17.100000000000001" customHeight="1">
      <c r="G281" s="6" t="str">
        <f t="shared" ca="1" si="4"/>
        <v/>
      </c>
    </row>
    <row r="282" spans="7:7" ht="17.100000000000001" customHeight="1">
      <c r="G282" s="6" t="str">
        <f t="shared" ca="1" si="4"/>
        <v/>
      </c>
    </row>
    <row r="283" spans="7:7" ht="17.100000000000001" customHeight="1">
      <c r="G283" s="6" t="str">
        <f t="shared" ca="1" si="4"/>
        <v/>
      </c>
    </row>
    <row r="284" spans="7:7" ht="17.100000000000001" customHeight="1">
      <c r="G284" s="6" t="str">
        <f t="shared" ca="1" si="4"/>
        <v/>
      </c>
    </row>
    <row r="285" spans="7:7" ht="17.100000000000001" customHeight="1">
      <c r="G285" s="6" t="str">
        <f t="shared" ca="1" si="4"/>
        <v/>
      </c>
    </row>
    <row r="286" spans="7:7" ht="17.100000000000001" customHeight="1">
      <c r="G286" s="6" t="str">
        <f t="shared" ca="1" si="4"/>
        <v/>
      </c>
    </row>
    <row r="287" spans="7:7" ht="17.100000000000001" customHeight="1">
      <c r="G287" s="6" t="str">
        <f t="shared" ca="1" si="4"/>
        <v/>
      </c>
    </row>
    <row r="288" spans="7:7" ht="17.100000000000001" customHeight="1">
      <c r="G288" s="6" t="str">
        <f t="shared" ca="1" si="4"/>
        <v/>
      </c>
    </row>
    <row r="289" spans="7:7" ht="17.100000000000001" customHeight="1">
      <c r="G289" s="6" t="str">
        <f t="shared" ca="1" si="4"/>
        <v/>
      </c>
    </row>
    <row r="290" spans="7:7" ht="17.100000000000001" customHeight="1">
      <c r="G290" s="6" t="str">
        <f t="shared" ca="1" si="4"/>
        <v/>
      </c>
    </row>
    <row r="291" spans="7:7" ht="17.100000000000001" customHeight="1">
      <c r="G291" s="6" t="str">
        <f t="shared" ca="1" si="4"/>
        <v/>
      </c>
    </row>
    <row r="292" spans="7:7" ht="17.100000000000001" customHeight="1">
      <c r="G292" s="6" t="str">
        <f t="shared" ca="1" si="4"/>
        <v/>
      </c>
    </row>
    <row r="293" spans="7:7" ht="17.100000000000001" customHeight="1">
      <c r="G293" s="6" t="str">
        <f t="shared" ca="1" si="4"/>
        <v/>
      </c>
    </row>
    <row r="294" spans="7:7" ht="17.100000000000001" customHeight="1">
      <c r="G294" s="6" t="str">
        <f t="shared" ca="1" si="4"/>
        <v/>
      </c>
    </row>
    <row r="295" spans="7:7" ht="17.100000000000001" customHeight="1">
      <c r="G295" s="6" t="str">
        <f t="shared" ca="1" si="4"/>
        <v/>
      </c>
    </row>
    <row r="296" spans="7:7" ht="17.100000000000001" customHeight="1">
      <c r="G296" s="6" t="str">
        <f t="shared" ca="1" si="4"/>
        <v/>
      </c>
    </row>
    <row r="297" spans="7:7" ht="17.100000000000001" customHeight="1">
      <c r="G297" s="6" t="str">
        <f t="shared" ca="1" si="4"/>
        <v/>
      </c>
    </row>
    <row r="298" spans="7:7" ht="17.100000000000001" customHeight="1">
      <c r="G298" s="6" t="str">
        <f t="shared" ca="1" si="4"/>
        <v/>
      </c>
    </row>
    <row r="299" spans="7:7" ht="17.100000000000001" customHeight="1">
      <c r="G299" s="6" t="str">
        <f t="shared" ca="1" si="4"/>
        <v/>
      </c>
    </row>
    <row r="300" spans="7:7" ht="17.100000000000001" customHeight="1">
      <c r="G300" s="6" t="str">
        <f t="shared" ca="1" si="4"/>
        <v/>
      </c>
    </row>
    <row r="301" spans="7:7" ht="17.100000000000001" customHeight="1">
      <c r="G301" s="6" t="str">
        <f t="shared" ca="1" si="4"/>
        <v/>
      </c>
    </row>
    <row r="302" spans="7:7" ht="17.100000000000001" customHeight="1">
      <c r="G302" s="6" t="str">
        <f t="shared" ca="1" si="4"/>
        <v/>
      </c>
    </row>
    <row r="303" spans="7:7" ht="17.100000000000001" customHeight="1">
      <c r="G303" s="6" t="str">
        <f t="shared" ca="1" si="4"/>
        <v/>
      </c>
    </row>
    <row r="304" spans="7:7" ht="17.100000000000001" customHeight="1">
      <c r="G304" s="6" t="str">
        <f t="shared" ca="1" si="4"/>
        <v/>
      </c>
    </row>
    <row r="305" spans="7:7" ht="17.100000000000001" customHeight="1">
      <c r="G305" s="6" t="str">
        <f t="shared" ca="1" si="4"/>
        <v/>
      </c>
    </row>
    <row r="306" spans="7:7" ht="17.100000000000001" customHeight="1">
      <c r="G306" s="6" t="str">
        <f t="shared" ca="1" si="4"/>
        <v/>
      </c>
    </row>
    <row r="307" spans="7:7" ht="17.100000000000001" customHeight="1">
      <c r="G307" s="6" t="str">
        <f t="shared" ca="1" si="4"/>
        <v/>
      </c>
    </row>
    <row r="308" spans="7:7" ht="17.100000000000001" customHeight="1">
      <c r="G308" s="6" t="str">
        <f t="shared" ca="1" si="4"/>
        <v/>
      </c>
    </row>
    <row r="309" spans="7:7" ht="17.100000000000001" customHeight="1">
      <c r="G309" s="6" t="str">
        <f t="shared" ca="1" si="4"/>
        <v/>
      </c>
    </row>
    <row r="310" spans="7:7" ht="17.100000000000001" customHeight="1">
      <c r="G310" s="6" t="str">
        <f t="shared" ca="1" si="4"/>
        <v/>
      </c>
    </row>
    <row r="311" spans="7:7" ht="17.100000000000001" customHeight="1">
      <c r="G311" s="6" t="str">
        <f t="shared" ca="1" si="4"/>
        <v/>
      </c>
    </row>
    <row r="312" spans="7:7" ht="17.100000000000001" customHeight="1">
      <c r="G312" s="6" t="str">
        <f t="shared" ca="1" si="4"/>
        <v/>
      </c>
    </row>
    <row r="313" spans="7:7" ht="17.100000000000001" customHeight="1">
      <c r="G313" s="6" t="str">
        <f t="shared" ca="1" si="4"/>
        <v/>
      </c>
    </row>
    <row r="314" spans="7:7" ht="17.100000000000001" customHeight="1">
      <c r="G314" s="6" t="str">
        <f t="shared" ca="1" si="4"/>
        <v/>
      </c>
    </row>
    <row r="315" spans="7:7" ht="17.100000000000001" customHeight="1">
      <c r="G315" s="6" t="str">
        <f t="shared" ca="1" si="4"/>
        <v/>
      </c>
    </row>
    <row r="316" spans="7:7" ht="17.100000000000001" customHeight="1">
      <c r="G316" s="6" t="str">
        <f t="shared" ca="1" si="4"/>
        <v/>
      </c>
    </row>
    <row r="317" spans="7:7" ht="17.100000000000001" customHeight="1">
      <c r="G317" s="6" t="str">
        <f t="shared" ca="1" si="4"/>
        <v/>
      </c>
    </row>
    <row r="318" spans="7:7" ht="17.100000000000001" customHeight="1">
      <c r="G318" s="6" t="str">
        <f t="shared" ca="1" si="4"/>
        <v/>
      </c>
    </row>
    <row r="319" spans="7:7" ht="17.100000000000001" customHeight="1">
      <c r="G319" s="6" t="str">
        <f t="shared" ca="1" si="4"/>
        <v/>
      </c>
    </row>
    <row r="320" spans="7:7" ht="17.100000000000001" customHeight="1">
      <c r="G320" s="6" t="str">
        <f t="shared" ca="1" si="4"/>
        <v/>
      </c>
    </row>
    <row r="321" spans="7:7" ht="17.100000000000001" customHeight="1">
      <c r="G321" s="6" t="str">
        <f t="shared" ca="1" si="4"/>
        <v/>
      </c>
    </row>
    <row r="322" spans="7:7" ht="17.100000000000001" customHeight="1">
      <c r="G322" s="6" t="str">
        <f t="shared" ca="1" si="4"/>
        <v/>
      </c>
    </row>
    <row r="323" spans="7:7" ht="17.100000000000001" customHeight="1">
      <c r="G323" s="6" t="str">
        <f t="shared" ca="1" si="4"/>
        <v/>
      </c>
    </row>
    <row r="324" spans="7:7" ht="17.100000000000001" customHeight="1">
      <c r="G324" s="6" t="str">
        <f t="shared" ca="1" si="4"/>
        <v/>
      </c>
    </row>
    <row r="325" spans="7:7" ht="17.100000000000001" customHeight="1">
      <c r="G325" s="6" t="str">
        <f t="shared" ca="1" si="4"/>
        <v/>
      </c>
    </row>
    <row r="326" spans="7:7" ht="17.100000000000001" customHeight="1">
      <c r="G326" s="6" t="str">
        <f t="shared" ca="1" si="4"/>
        <v/>
      </c>
    </row>
    <row r="327" spans="7:7" ht="17.100000000000001" customHeight="1">
      <c r="G327" s="6" t="str">
        <f t="shared" ca="1" si="4"/>
        <v/>
      </c>
    </row>
    <row r="328" spans="7:7" ht="17.100000000000001" customHeight="1">
      <c r="G328" s="6" t="str">
        <f t="shared" ca="1" si="4"/>
        <v/>
      </c>
    </row>
    <row r="329" spans="7:7" ht="17.100000000000001" customHeight="1">
      <c r="G329" s="6" t="str">
        <f t="shared" ca="1" si="4"/>
        <v/>
      </c>
    </row>
    <row r="330" spans="7:7" ht="17.100000000000001" customHeight="1">
      <c r="G330" s="6" t="str">
        <f t="shared" ca="1" si="4"/>
        <v/>
      </c>
    </row>
    <row r="331" spans="7:7" ht="17.100000000000001" customHeight="1">
      <c r="G331" s="6" t="str">
        <f t="shared" ca="1" si="4"/>
        <v/>
      </c>
    </row>
    <row r="332" spans="7:7" ht="17.100000000000001" customHeight="1">
      <c r="G332" s="6" t="str">
        <f t="shared" ca="1" si="4"/>
        <v/>
      </c>
    </row>
    <row r="333" spans="7:7" ht="17.100000000000001" customHeight="1">
      <c r="G333" s="6" t="str">
        <f t="shared" ca="1" si="4"/>
        <v/>
      </c>
    </row>
    <row r="334" spans="7:7" ht="17.100000000000001" customHeight="1">
      <c r="G334" s="6" t="str">
        <f t="shared" ca="1" si="4"/>
        <v/>
      </c>
    </row>
    <row r="335" spans="7:7" ht="17.100000000000001" customHeight="1">
      <c r="G335" s="6" t="str">
        <f t="shared" ca="1" si="4"/>
        <v/>
      </c>
    </row>
    <row r="336" spans="7:7" ht="17.100000000000001" customHeight="1">
      <c r="G336" s="6" t="str">
        <f t="shared" ca="1" si="4"/>
        <v/>
      </c>
    </row>
    <row r="337" spans="7:7" ht="17.100000000000001" customHeight="1">
      <c r="G337" s="6" t="str">
        <f t="shared" ca="1" si="4"/>
        <v/>
      </c>
    </row>
    <row r="338" spans="7:7" ht="17.100000000000001" customHeight="1">
      <c r="G338" s="6" t="str">
        <f t="shared" ca="1" si="4"/>
        <v/>
      </c>
    </row>
    <row r="339" spans="7:7" ht="17.100000000000001" customHeight="1">
      <c r="G339" s="6" t="str">
        <f t="shared" ca="1" si="4"/>
        <v/>
      </c>
    </row>
    <row r="340" spans="7:7" ht="17.100000000000001" customHeight="1">
      <c r="G340" s="6" t="str">
        <f t="shared" ca="1" si="4"/>
        <v/>
      </c>
    </row>
    <row r="341" spans="7:7" ht="17.100000000000001" customHeight="1">
      <c r="G341" s="6" t="str">
        <f t="shared" ca="1" si="4"/>
        <v/>
      </c>
    </row>
    <row r="342" spans="7:7" ht="17.100000000000001" customHeight="1">
      <c r="G342" s="6" t="str">
        <f t="shared" ref="G342:G405" ca="1" si="5">IF(A342="","",IF(A342="Static",C342,IF(D342="Day",C342*(IF(F342="",TODAY(),F342)-E342),IF(D342="Week",C342*((IF(F342="",TODAY(),F342)-E342)/7),IF(D342="Month",C342*(DATEDIF(E342,IF(F342="",TODAY(),F342),"m")+1),IF(D342="Year",C342*(DATEDIF(E342,IF(F342="",TODAY(),F342),"y")+1),0))))))</f>
        <v/>
      </c>
    </row>
    <row r="343" spans="7:7" ht="17.100000000000001" customHeight="1">
      <c r="G343" s="6" t="str">
        <f t="shared" ca="1" si="5"/>
        <v/>
      </c>
    </row>
    <row r="344" spans="7:7" ht="17.100000000000001" customHeight="1">
      <c r="G344" s="6" t="str">
        <f t="shared" ca="1" si="5"/>
        <v/>
      </c>
    </row>
    <row r="345" spans="7:7" ht="17.100000000000001" customHeight="1">
      <c r="G345" s="6" t="str">
        <f t="shared" ca="1" si="5"/>
        <v/>
      </c>
    </row>
    <row r="346" spans="7:7" ht="17.100000000000001" customHeight="1">
      <c r="G346" s="6" t="str">
        <f t="shared" ca="1" si="5"/>
        <v/>
      </c>
    </row>
    <row r="347" spans="7:7" ht="17.100000000000001" customHeight="1">
      <c r="G347" s="6" t="str">
        <f t="shared" ca="1" si="5"/>
        <v/>
      </c>
    </row>
    <row r="348" spans="7:7" ht="17.100000000000001" customHeight="1">
      <c r="G348" s="6" t="str">
        <f t="shared" ca="1" si="5"/>
        <v/>
      </c>
    </row>
    <row r="349" spans="7:7" ht="17.100000000000001" customHeight="1">
      <c r="G349" s="6" t="str">
        <f t="shared" ca="1" si="5"/>
        <v/>
      </c>
    </row>
    <row r="350" spans="7:7" ht="17.100000000000001" customHeight="1">
      <c r="G350" s="6" t="str">
        <f t="shared" ca="1" si="5"/>
        <v/>
      </c>
    </row>
    <row r="351" spans="7:7" ht="17.100000000000001" customHeight="1">
      <c r="G351" s="6" t="str">
        <f t="shared" ca="1" si="5"/>
        <v/>
      </c>
    </row>
    <row r="352" spans="7:7" ht="17.100000000000001" customHeight="1">
      <c r="G352" s="6" t="str">
        <f t="shared" ca="1" si="5"/>
        <v/>
      </c>
    </row>
    <row r="353" spans="7:7" ht="17.100000000000001" customHeight="1">
      <c r="G353" s="6" t="str">
        <f t="shared" ca="1" si="5"/>
        <v/>
      </c>
    </row>
    <row r="354" spans="7:7" ht="17.100000000000001" customHeight="1">
      <c r="G354" s="6" t="str">
        <f t="shared" ca="1" si="5"/>
        <v/>
      </c>
    </row>
    <row r="355" spans="7:7" ht="17.100000000000001" customHeight="1">
      <c r="G355" s="6" t="str">
        <f t="shared" ca="1" si="5"/>
        <v/>
      </c>
    </row>
    <row r="356" spans="7:7" ht="17.100000000000001" customHeight="1">
      <c r="G356" s="6" t="str">
        <f t="shared" ca="1" si="5"/>
        <v/>
      </c>
    </row>
    <row r="357" spans="7:7" ht="17.100000000000001" customHeight="1">
      <c r="G357" s="6" t="str">
        <f t="shared" ca="1" si="5"/>
        <v/>
      </c>
    </row>
    <row r="358" spans="7:7" ht="17.100000000000001" customHeight="1">
      <c r="G358" s="6" t="str">
        <f t="shared" ca="1" si="5"/>
        <v/>
      </c>
    </row>
    <row r="359" spans="7:7" ht="17.100000000000001" customHeight="1">
      <c r="G359" s="6" t="str">
        <f t="shared" ca="1" si="5"/>
        <v/>
      </c>
    </row>
    <row r="360" spans="7:7" ht="17.100000000000001" customHeight="1">
      <c r="G360" s="6" t="str">
        <f t="shared" ca="1" si="5"/>
        <v/>
      </c>
    </row>
    <row r="361" spans="7:7" ht="17.100000000000001" customHeight="1">
      <c r="G361" s="6" t="str">
        <f t="shared" ca="1" si="5"/>
        <v/>
      </c>
    </row>
    <row r="362" spans="7:7" ht="17.100000000000001" customHeight="1">
      <c r="G362" s="6" t="str">
        <f t="shared" ca="1" si="5"/>
        <v/>
      </c>
    </row>
    <row r="363" spans="7:7" ht="17.100000000000001" customHeight="1">
      <c r="G363" s="6" t="str">
        <f t="shared" ca="1" si="5"/>
        <v/>
      </c>
    </row>
    <row r="364" spans="7:7" ht="17.100000000000001" customHeight="1">
      <c r="G364" s="6" t="str">
        <f t="shared" ca="1" si="5"/>
        <v/>
      </c>
    </row>
    <row r="365" spans="7:7" ht="17.100000000000001" customHeight="1">
      <c r="G365" s="6" t="str">
        <f t="shared" ca="1" si="5"/>
        <v/>
      </c>
    </row>
    <row r="366" spans="7:7" ht="17.100000000000001" customHeight="1">
      <c r="G366" s="6" t="str">
        <f t="shared" ca="1" si="5"/>
        <v/>
      </c>
    </row>
    <row r="367" spans="7:7" ht="17.100000000000001" customHeight="1">
      <c r="G367" s="6" t="str">
        <f t="shared" ca="1" si="5"/>
        <v/>
      </c>
    </row>
    <row r="368" spans="7:7" ht="17.100000000000001" customHeight="1">
      <c r="G368" s="6" t="str">
        <f t="shared" ca="1" si="5"/>
        <v/>
      </c>
    </row>
    <row r="369" spans="7:7" ht="17.100000000000001" customHeight="1">
      <c r="G369" s="6" t="str">
        <f t="shared" ca="1" si="5"/>
        <v/>
      </c>
    </row>
    <row r="370" spans="7:7" ht="17.100000000000001" customHeight="1">
      <c r="G370" s="6" t="str">
        <f t="shared" ca="1" si="5"/>
        <v/>
      </c>
    </row>
    <row r="371" spans="7:7" ht="17.100000000000001" customHeight="1">
      <c r="G371" s="6" t="str">
        <f t="shared" ca="1" si="5"/>
        <v/>
      </c>
    </row>
    <row r="372" spans="7:7" ht="17.100000000000001" customHeight="1">
      <c r="G372" s="6" t="str">
        <f t="shared" ca="1" si="5"/>
        <v/>
      </c>
    </row>
    <row r="373" spans="7:7" ht="17.100000000000001" customHeight="1">
      <c r="G373" s="6" t="str">
        <f t="shared" ca="1" si="5"/>
        <v/>
      </c>
    </row>
    <row r="374" spans="7:7" ht="17.100000000000001" customHeight="1">
      <c r="G374" s="6" t="str">
        <f t="shared" ca="1" si="5"/>
        <v/>
      </c>
    </row>
    <row r="375" spans="7:7" ht="17.100000000000001" customHeight="1">
      <c r="G375" s="6" t="str">
        <f t="shared" ca="1" si="5"/>
        <v/>
      </c>
    </row>
    <row r="376" spans="7:7" ht="17.100000000000001" customHeight="1">
      <c r="G376" s="6" t="str">
        <f t="shared" ca="1" si="5"/>
        <v/>
      </c>
    </row>
    <row r="377" spans="7:7" ht="17.100000000000001" customHeight="1">
      <c r="G377" s="6" t="str">
        <f t="shared" ca="1" si="5"/>
        <v/>
      </c>
    </row>
    <row r="378" spans="7:7" ht="17.100000000000001" customHeight="1">
      <c r="G378" s="6" t="str">
        <f t="shared" ca="1" si="5"/>
        <v/>
      </c>
    </row>
    <row r="379" spans="7:7" ht="17.100000000000001" customHeight="1">
      <c r="G379" s="6" t="str">
        <f t="shared" ca="1" si="5"/>
        <v/>
      </c>
    </row>
    <row r="380" spans="7:7" ht="17.100000000000001" customHeight="1">
      <c r="G380" s="6" t="str">
        <f t="shared" ca="1" si="5"/>
        <v/>
      </c>
    </row>
    <row r="381" spans="7:7" ht="17.100000000000001" customHeight="1">
      <c r="G381" s="6" t="str">
        <f t="shared" ca="1" si="5"/>
        <v/>
      </c>
    </row>
    <row r="382" spans="7:7" ht="17.100000000000001" customHeight="1">
      <c r="G382" s="6" t="str">
        <f t="shared" ca="1" si="5"/>
        <v/>
      </c>
    </row>
    <row r="383" spans="7:7" ht="17.100000000000001" customHeight="1">
      <c r="G383" s="6" t="str">
        <f t="shared" ca="1" si="5"/>
        <v/>
      </c>
    </row>
    <row r="384" spans="7:7" ht="17.100000000000001" customHeight="1">
      <c r="G384" s="6" t="str">
        <f t="shared" ca="1" si="5"/>
        <v/>
      </c>
    </row>
    <row r="385" spans="7:7" ht="17.100000000000001" customHeight="1">
      <c r="G385" s="6" t="str">
        <f t="shared" ca="1" si="5"/>
        <v/>
      </c>
    </row>
    <row r="386" spans="7:7" ht="17.100000000000001" customHeight="1">
      <c r="G386" s="6" t="str">
        <f t="shared" ca="1" si="5"/>
        <v/>
      </c>
    </row>
    <row r="387" spans="7:7" ht="17.100000000000001" customHeight="1">
      <c r="G387" s="6" t="str">
        <f t="shared" ca="1" si="5"/>
        <v/>
      </c>
    </row>
    <row r="388" spans="7:7" ht="17.100000000000001" customHeight="1">
      <c r="G388" s="6" t="str">
        <f t="shared" ca="1" si="5"/>
        <v/>
      </c>
    </row>
    <row r="389" spans="7:7" ht="17.100000000000001" customHeight="1">
      <c r="G389" s="6" t="str">
        <f t="shared" ca="1" si="5"/>
        <v/>
      </c>
    </row>
    <row r="390" spans="7:7" ht="17.100000000000001" customHeight="1">
      <c r="G390" s="6" t="str">
        <f t="shared" ca="1" si="5"/>
        <v/>
      </c>
    </row>
    <row r="391" spans="7:7" ht="17.100000000000001" customHeight="1">
      <c r="G391" s="6" t="str">
        <f t="shared" ca="1" si="5"/>
        <v/>
      </c>
    </row>
    <row r="392" spans="7:7" ht="17.100000000000001" customHeight="1">
      <c r="G392" s="6" t="str">
        <f t="shared" ca="1" si="5"/>
        <v/>
      </c>
    </row>
    <row r="393" spans="7:7" ht="17.100000000000001" customHeight="1">
      <c r="G393" s="6" t="str">
        <f t="shared" ca="1" si="5"/>
        <v/>
      </c>
    </row>
    <row r="394" spans="7:7" ht="17.100000000000001" customHeight="1">
      <c r="G394" s="6" t="str">
        <f t="shared" ca="1" si="5"/>
        <v/>
      </c>
    </row>
    <row r="395" spans="7:7" ht="17.100000000000001" customHeight="1">
      <c r="G395" s="6" t="str">
        <f t="shared" ca="1" si="5"/>
        <v/>
      </c>
    </row>
    <row r="396" spans="7:7" ht="17.100000000000001" customHeight="1">
      <c r="G396" s="6" t="str">
        <f t="shared" ca="1" si="5"/>
        <v/>
      </c>
    </row>
    <row r="397" spans="7:7" ht="17.100000000000001" customHeight="1">
      <c r="G397" s="6" t="str">
        <f t="shared" ca="1" si="5"/>
        <v/>
      </c>
    </row>
    <row r="398" spans="7:7" ht="17.100000000000001" customHeight="1">
      <c r="G398" s="6" t="str">
        <f t="shared" ca="1" si="5"/>
        <v/>
      </c>
    </row>
    <row r="399" spans="7:7" ht="17.100000000000001" customHeight="1">
      <c r="G399" s="6" t="str">
        <f t="shared" ca="1" si="5"/>
        <v/>
      </c>
    </row>
    <row r="400" spans="7:7" ht="17.100000000000001" customHeight="1">
      <c r="G400" s="6" t="str">
        <f t="shared" ca="1" si="5"/>
        <v/>
      </c>
    </row>
    <row r="401" spans="7:7" ht="17.100000000000001" customHeight="1">
      <c r="G401" s="6" t="str">
        <f t="shared" ca="1" si="5"/>
        <v/>
      </c>
    </row>
    <row r="402" spans="7:7" ht="17.100000000000001" customHeight="1">
      <c r="G402" s="6" t="str">
        <f t="shared" ca="1" si="5"/>
        <v/>
      </c>
    </row>
    <row r="403" spans="7:7" ht="17.100000000000001" customHeight="1">
      <c r="G403" s="6" t="str">
        <f t="shared" ca="1" si="5"/>
        <v/>
      </c>
    </row>
    <row r="404" spans="7:7" ht="17.100000000000001" customHeight="1">
      <c r="G404" s="6" t="str">
        <f t="shared" ca="1" si="5"/>
        <v/>
      </c>
    </row>
    <row r="405" spans="7:7" ht="17.100000000000001" customHeight="1">
      <c r="G405" s="6" t="str">
        <f t="shared" ca="1" si="5"/>
        <v/>
      </c>
    </row>
    <row r="406" spans="7:7" ht="17.100000000000001" customHeight="1">
      <c r="G406" s="6" t="str">
        <f t="shared" ref="G406:G469" ca="1" si="6">IF(A406="","",IF(A406="Static",C406,IF(D406="Day",C406*(IF(F406="",TODAY(),F406)-E406),IF(D406="Week",C406*((IF(F406="",TODAY(),F406)-E406)/7),IF(D406="Month",C406*(DATEDIF(E406,IF(F406="",TODAY(),F406),"m")+1),IF(D406="Year",C406*(DATEDIF(E406,IF(F406="",TODAY(),F406),"y")+1),0))))))</f>
        <v/>
      </c>
    </row>
    <row r="407" spans="7:7" ht="17.100000000000001" customHeight="1">
      <c r="G407" s="6" t="str">
        <f t="shared" ca="1" si="6"/>
        <v/>
      </c>
    </row>
    <row r="408" spans="7:7" ht="17.100000000000001" customHeight="1">
      <c r="G408" s="6" t="str">
        <f t="shared" ca="1" si="6"/>
        <v/>
      </c>
    </row>
    <row r="409" spans="7:7" ht="17.100000000000001" customHeight="1">
      <c r="G409" s="6" t="str">
        <f t="shared" ca="1" si="6"/>
        <v/>
      </c>
    </row>
    <row r="410" spans="7:7" ht="17.100000000000001" customHeight="1">
      <c r="G410" s="6" t="str">
        <f t="shared" ca="1" si="6"/>
        <v/>
      </c>
    </row>
    <row r="411" spans="7:7" ht="17.100000000000001" customHeight="1">
      <c r="G411" s="6" t="str">
        <f t="shared" ca="1" si="6"/>
        <v/>
      </c>
    </row>
    <row r="412" spans="7:7" ht="17.100000000000001" customHeight="1">
      <c r="G412" s="6" t="str">
        <f t="shared" ca="1" si="6"/>
        <v/>
      </c>
    </row>
    <row r="413" spans="7:7" ht="17.100000000000001" customHeight="1">
      <c r="G413" s="6" t="str">
        <f t="shared" ca="1" si="6"/>
        <v/>
      </c>
    </row>
    <row r="414" spans="7:7" ht="17.100000000000001" customHeight="1">
      <c r="G414" s="6" t="str">
        <f t="shared" ca="1" si="6"/>
        <v/>
      </c>
    </row>
    <row r="415" spans="7:7" ht="17.100000000000001" customHeight="1">
      <c r="G415" s="6" t="str">
        <f t="shared" ca="1" si="6"/>
        <v/>
      </c>
    </row>
    <row r="416" spans="7:7" ht="17.100000000000001" customHeight="1">
      <c r="G416" s="6" t="str">
        <f t="shared" ca="1" si="6"/>
        <v/>
      </c>
    </row>
    <row r="417" spans="7:7" ht="17.100000000000001" customHeight="1">
      <c r="G417" s="6" t="str">
        <f t="shared" ca="1" si="6"/>
        <v/>
      </c>
    </row>
    <row r="418" spans="7:7" ht="17.100000000000001" customHeight="1">
      <c r="G418" s="6" t="str">
        <f t="shared" ca="1" si="6"/>
        <v/>
      </c>
    </row>
    <row r="419" spans="7:7" ht="17.100000000000001" customHeight="1">
      <c r="G419" s="6" t="str">
        <f t="shared" ca="1" si="6"/>
        <v/>
      </c>
    </row>
    <row r="420" spans="7:7" ht="17.100000000000001" customHeight="1">
      <c r="G420" s="6" t="str">
        <f t="shared" ca="1" si="6"/>
        <v/>
      </c>
    </row>
    <row r="421" spans="7:7" ht="17.100000000000001" customHeight="1">
      <c r="G421" s="6" t="str">
        <f t="shared" ca="1" si="6"/>
        <v/>
      </c>
    </row>
    <row r="422" spans="7:7" ht="17.100000000000001" customHeight="1">
      <c r="G422" s="6" t="str">
        <f t="shared" ca="1" si="6"/>
        <v/>
      </c>
    </row>
    <row r="423" spans="7:7" ht="17.100000000000001" customHeight="1">
      <c r="G423" s="6" t="str">
        <f t="shared" ca="1" si="6"/>
        <v/>
      </c>
    </row>
    <row r="424" spans="7:7" ht="17.100000000000001" customHeight="1">
      <c r="G424" s="6" t="str">
        <f t="shared" ca="1" si="6"/>
        <v/>
      </c>
    </row>
    <row r="425" spans="7:7" ht="17.100000000000001" customHeight="1">
      <c r="G425" s="6" t="str">
        <f t="shared" ca="1" si="6"/>
        <v/>
      </c>
    </row>
    <row r="426" spans="7:7" ht="17.100000000000001" customHeight="1">
      <c r="G426" s="6" t="str">
        <f t="shared" ca="1" si="6"/>
        <v/>
      </c>
    </row>
    <row r="427" spans="7:7" ht="17.100000000000001" customHeight="1">
      <c r="G427" s="6" t="str">
        <f t="shared" ca="1" si="6"/>
        <v/>
      </c>
    </row>
    <row r="428" spans="7:7" ht="17.100000000000001" customHeight="1">
      <c r="G428" s="6" t="str">
        <f t="shared" ca="1" si="6"/>
        <v/>
      </c>
    </row>
    <row r="429" spans="7:7" ht="17.100000000000001" customHeight="1">
      <c r="G429" s="6" t="str">
        <f t="shared" ca="1" si="6"/>
        <v/>
      </c>
    </row>
    <row r="430" spans="7:7" ht="17.100000000000001" customHeight="1">
      <c r="G430" s="6" t="str">
        <f t="shared" ca="1" si="6"/>
        <v/>
      </c>
    </row>
    <row r="431" spans="7:7" ht="17.100000000000001" customHeight="1">
      <c r="G431" s="6" t="str">
        <f t="shared" ca="1" si="6"/>
        <v/>
      </c>
    </row>
    <row r="432" spans="7:7" ht="17.100000000000001" customHeight="1">
      <c r="G432" s="6" t="str">
        <f t="shared" ca="1" si="6"/>
        <v/>
      </c>
    </row>
    <row r="433" spans="7:7" ht="17.100000000000001" customHeight="1">
      <c r="G433" s="6" t="str">
        <f t="shared" ca="1" si="6"/>
        <v/>
      </c>
    </row>
    <row r="434" spans="7:7" ht="17.100000000000001" customHeight="1">
      <c r="G434" s="6" t="str">
        <f t="shared" ca="1" si="6"/>
        <v/>
      </c>
    </row>
    <row r="435" spans="7:7" ht="17.100000000000001" customHeight="1">
      <c r="G435" s="6" t="str">
        <f t="shared" ca="1" si="6"/>
        <v/>
      </c>
    </row>
    <row r="436" spans="7:7" ht="17.100000000000001" customHeight="1">
      <c r="G436" s="6" t="str">
        <f t="shared" ca="1" si="6"/>
        <v/>
      </c>
    </row>
    <row r="437" spans="7:7" ht="17.100000000000001" customHeight="1">
      <c r="G437" s="6" t="str">
        <f t="shared" ca="1" si="6"/>
        <v/>
      </c>
    </row>
    <row r="438" spans="7:7" ht="17.100000000000001" customHeight="1">
      <c r="G438" s="6" t="str">
        <f t="shared" ca="1" si="6"/>
        <v/>
      </c>
    </row>
    <row r="439" spans="7:7" ht="17.100000000000001" customHeight="1">
      <c r="G439" s="6" t="str">
        <f t="shared" ca="1" si="6"/>
        <v/>
      </c>
    </row>
    <row r="440" spans="7:7" ht="17.100000000000001" customHeight="1">
      <c r="G440" s="6" t="str">
        <f t="shared" ca="1" si="6"/>
        <v/>
      </c>
    </row>
    <row r="441" spans="7:7" ht="17.100000000000001" customHeight="1">
      <c r="G441" s="6" t="str">
        <f t="shared" ca="1" si="6"/>
        <v/>
      </c>
    </row>
    <row r="442" spans="7:7" ht="17.100000000000001" customHeight="1">
      <c r="G442" s="6" t="str">
        <f t="shared" ca="1" si="6"/>
        <v/>
      </c>
    </row>
    <row r="443" spans="7:7" ht="17.100000000000001" customHeight="1">
      <c r="G443" s="6" t="str">
        <f t="shared" ca="1" si="6"/>
        <v/>
      </c>
    </row>
    <row r="444" spans="7:7" ht="17.100000000000001" customHeight="1">
      <c r="G444" s="6" t="str">
        <f t="shared" ca="1" si="6"/>
        <v/>
      </c>
    </row>
    <row r="445" spans="7:7" ht="17.100000000000001" customHeight="1">
      <c r="G445" s="6" t="str">
        <f t="shared" ca="1" si="6"/>
        <v/>
      </c>
    </row>
    <row r="446" spans="7:7" ht="17.100000000000001" customHeight="1">
      <c r="G446" s="6" t="str">
        <f t="shared" ca="1" si="6"/>
        <v/>
      </c>
    </row>
    <row r="447" spans="7:7" ht="17.100000000000001" customHeight="1">
      <c r="G447" s="6" t="str">
        <f t="shared" ca="1" si="6"/>
        <v/>
      </c>
    </row>
    <row r="448" spans="7:7" ht="17.100000000000001" customHeight="1">
      <c r="G448" s="6" t="str">
        <f t="shared" ca="1" si="6"/>
        <v/>
      </c>
    </row>
    <row r="449" spans="7:7" ht="17.100000000000001" customHeight="1">
      <c r="G449" s="6" t="str">
        <f t="shared" ca="1" si="6"/>
        <v/>
      </c>
    </row>
    <row r="450" spans="7:7" ht="17.100000000000001" customHeight="1">
      <c r="G450" s="6" t="str">
        <f t="shared" ca="1" si="6"/>
        <v/>
      </c>
    </row>
    <row r="451" spans="7:7" ht="17.100000000000001" customHeight="1">
      <c r="G451" s="6" t="str">
        <f t="shared" ca="1" si="6"/>
        <v/>
      </c>
    </row>
    <row r="452" spans="7:7" ht="17.100000000000001" customHeight="1">
      <c r="G452" s="6" t="str">
        <f t="shared" ca="1" si="6"/>
        <v/>
      </c>
    </row>
    <row r="453" spans="7:7" ht="17.100000000000001" customHeight="1">
      <c r="G453" s="6" t="str">
        <f t="shared" ca="1" si="6"/>
        <v/>
      </c>
    </row>
    <row r="454" spans="7:7" ht="17.100000000000001" customHeight="1">
      <c r="G454" s="6" t="str">
        <f t="shared" ca="1" si="6"/>
        <v/>
      </c>
    </row>
    <row r="455" spans="7:7" ht="17.100000000000001" customHeight="1">
      <c r="G455" s="6" t="str">
        <f t="shared" ca="1" si="6"/>
        <v/>
      </c>
    </row>
    <row r="456" spans="7:7" ht="17.100000000000001" customHeight="1">
      <c r="G456" s="6" t="str">
        <f t="shared" ca="1" si="6"/>
        <v/>
      </c>
    </row>
    <row r="457" spans="7:7" ht="17.100000000000001" customHeight="1">
      <c r="G457" s="6" t="str">
        <f t="shared" ca="1" si="6"/>
        <v/>
      </c>
    </row>
    <row r="458" spans="7:7" ht="17.100000000000001" customHeight="1">
      <c r="G458" s="6" t="str">
        <f t="shared" ca="1" si="6"/>
        <v/>
      </c>
    </row>
    <row r="459" spans="7:7" ht="17.100000000000001" customHeight="1">
      <c r="G459" s="6" t="str">
        <f t="shared" ca="1" si="6"/>
        <v/>
      </c>
    </row>
    <row r="460" spans="7:7" ht="17.100000000000001" customHeight="1">
      <c r="G460" s="6" t="str">
        <f t="shared" ca="1" si="6"/>
        <v/>
      </c>
    </row>
    <row r="461" spans="7:7" ht="17.100000000000001" customHeight="1">
      <c r="G461" s="6" t="str">
        <f t="shared" ca="1" si="6"/>
        <v/>
      </c>
    </row>
    <row r="462" spans="7:7" ht="17.100000000000001" customHeight="1">
      <c r="G462" s="6" t="str">
        <f t="shared" ca="1" si="6"/>
        <v/>
      </c>
    </row>
    <row r="463" spans="7:7" ht="17.100000000000001" customHeight="1">
      <c r="G463" s="6" t="str">
        <f t="shared" ca="1" si="6"/>
        <v/>
      </c>
    </row>
    <row r="464" spans="7:7" ht="17.100000000000001" customHeight="1">
      <c r="G464" s="6" t="str">
        <f t="shared" ca="1" si="6"/>
        <v/>
      </c>
    </row>
    <row r="465" spans="7:7" ht="17.100000000000001" customHeight="1">
      <c r="G465" s="6" t="str">
        <f t="shared" ca="1" si="6"/>
        <v/>
      </c>
    </row>
    <row r="466" spans="7:7" ht="17.100000000000001" customHeight="1">
      <c r="G466" s="6" t="str">
        <f t="shared" ca="1" si="6"/>
        <v/>
      </c>
    </row>
    <row r="467" spans="7:7" ht="17.100000000000001" customHeight="1">
      <c r="G467" s="6" t="str">
        <f t="shared" ca="1" si="6"/>
        <v/>
      </c>
    </row>
    <row r="468" spans="7:7" ht="17.100000000000001" customHeight="1">
      <c r="G468" s="6" t="str">
        <f t="shared" ca="1" si="6"/>
        <v/>
      </c>
    </row>
    <row r="469" spans="7:7" ht="17.100000000000001" customHeight="1">
      <c r="G469" s="6" t="str">
        <f t="shared" ca="1" si="6"/>
        <v/>
      </c>
    </row>
    <row r="470" spans="7:7" ht="17.100000000000001" customHeight="1">
      <c r="G470" s="6" t="str">
        <f t="shared" ref="G470:G533" ca="1" si="7">IF(A470="","",IF(A470="Static",C470,IF(D470="Day",C470*(IF(F470="",TODAY(),F470)-E470),IF(D470="Week",C470*((IF(F470="",TODAY(),F470)-E470)/7),IF(D470="Month",C470*(DATEDIF(E470,IF(F470="",TODAY(),F470),"m")+1),IF(D470="Year",C470*(DATEDIF(E470,IF(F470="",TODAY(),F470),"y")+1),0))))))</f>
        <v/>
      </c>
    </row>
    <row r="471" spans="7:7" ht="17.100000000000001" customHeight="1">
      <c r="G471" s="6" t="str">
        <f t="shared" ca="1" si="7"/>
        <v/>
      </c>
    </row>
    <row r="472" spans="7:7" ht="17.100000000000001" customHeight="1">
      <c r="G472" s="6" t="str">
        <f t="shared" ca="1" si="7"/>
        <v/>
      </c>
    </row>
    <row r="473" spans="7:7" ht="17.100000000000001" customHeight="1">
      <c r="G473" s="6" t="str">
        <f t="shared" ca="1" si="7"/>
        <v/>
      </c>
    </row>
    <row r="474" spans="7:7" ht="17.100000000000001" customHeight="1">
      <c r="G474" s="6" t="str">
        <f t="shared" ca="1" si="7"/>
        <v/>
      </c>
    </row>
    <row r="475" spans="7:7" ht="17.100000000000001" customHeight="1">
      <c r="G475" s="6" t="str">
        <f t="shared" ca="1" si="7"/>
        <v/>
      </c>
    </row>
    <row r="476" spans="7:7" ht="17.100000000000001" customHeight="1">
      <c r="G476" s="6" t="str">
        <f t="shared" ca="1" si="7"/>
        <v/>
      </c>
    </row>
    <row r="477" spans="7:7" ht="17.100000000000001" customHeight="1">
      <c r="G477" s="6" t="str">
        <f t="shared" ca="1" si="7"/>
        <v/>
      </c>
    </row>
    <row r="478" spans="7:7" ht="17.100000000000001" customHeight="1">
      <c r="G478" s="6" t="str">
        <f t="shared" ca="1" si="7"/>
        <v/>
      </c>
    </row>
    <row r="479" spans="7:7" ht="17.100000000000001" customHeight="1">
      <c r="G479" s="6" t="str">
        <f t="shared" ca="1" si="7"/>
        <v/>
      </c>
    </row>
    <row r="480" spans="7:7" ht="17.100000000000001" customHeight="1">
      <c r="G480" s="6" t="str">
        <f t="shared" ca="1" si="7"/>
        <v/>
      </c>
    </row>
    <row r="481" spans="7:7" ht="17.100000000000001" customHeight="1">
      <c r="G481" s="6" t="str">
        <f t="shared" ca="1" si="7"/>
        <v/>
      </c>
    </row>
    <row r="482" spans="7:7" ht="17.100000000000001" customHeight="1">
      <c r="G482" s="6" t="str">
        <f t="shared" ca="1" si="7"/>
        <v/>
      </c>
    </row>
    <row r="483" spans="7:7" ht="17.100000000000001" customHeight="1">
      <c r="G483" s="6" t="str">
        <f t="shared" ca="1" si="7"/>
        <v/>
      </c>
    </row>
    <row r="484" spans="7:7" ht="17.100000000000001" customHeight="1">
      <c r="G484" s="6" t="str">
        <f t="shared" ca="1" si="7"/>
        <v/>
      </c>
    </row>
    <row r="485" spans="7:7" ht="17.100000000000001" customHeight="1">
      <c r="G485" s="6" t="str">
        <f t="shared" ca="1" si="7"/>
        <v/>
      </c>
    </row>
    <row r="486" spans="7:7" ht="17.100000000000001" customHeight="1">
      <c r="G486" s="6" t="str">
        <f t="shared" ca="1" si="7"/>
        <v/>
      </c>
    </row>
    <row r="487" spans="7:7" ht="17.100000000000001" customHeight="1">
      <c r="G487" s="6" t="str">
        <f t="shared" ca="1" si="7"/>
        <v/>
      </c>
    </row>
    <row r="488" spans="7:7" ht="17.100000000000001" customHeight="1">
      <c r="G488" s="6" t="str">
        <f t="shared" ca="1" si="7"/>
        <v/>
      </c>
    </row>
    <row r="489" spans="7:7" ht="17.100000000000001" customHeight="1">
      <c r="G489" s="6" t="str">
        <f t="shared" ca="1" si="7"/>
        <v/>
      </c>
    </row>
    <row r="490" spans="7:7" ht="17.100000000000001" customHeight="1">
      <c r="G490" s="6" t="str">
        <f t="shared" ca="1" si="7"/>
        <v/>
      </c>
    </row>
    <row r="491" spans="7:7" ht="17.100000000000001" customHeight="1">
      <c r="G491" s="6" t="str">
        <f t="shared" ca="1" si="7"/>
        <v/>
      </c>
    </row>
    <row r="492" spans="7:7" ht="17.100000000000001" customHeight="1">
      <c r="G492" s="6" t="str">
        <f t="shared" ca="1" si="7"/>
        <v/>
      </c>
    </row>
    <row r="493" spans="7:7" ht="17.100000000000001" customHeight="1">
      <c r="G493" s="6" t="str">
        <f t="shared" ca="1" si="7"/>
        <v/>
      </c>
    </row>
    <row r="494" spans="7:7" ht="17.100000000000001" customHeight="1">
      <c r="G494" s="6" t="str">
        <f t="shared" ca="1" si="7"/>
        <v/>
      </c>
    </row>
    <row r="495" spans="7:7" ht="17.100000000000001" customHeight="1">
      <c r="G495" s="6" t="str">
        <f t="shared" ca="1" si="7"/>
        <v/>
      </c>
    </row>
    <row r="496" spans="7:7" ht="17.100000000000001" customHeight="1">
      <c r="G496" s="6" t="str">
        <f t="shared" ca="1" si="7"/>
        <v/>
      </c>
    </row>
    <row r="497" spans="7:7" ht="17.100000000000001" customHeight="1">
      <c r="G497" s="6" t="str">
        <f t="shared" ca="1" si="7"/>
        <v/>
      </c>
    </row>
    <row r="498" spans="7:7" ht="17.100000000000001" customHeight="1">
      <c r="G498" s="6" t="str">
        <f t="shared" ca="1" si="7"/>
        <v/>
      </c>
    </row>
    <row r="499" spans="7:7" ht="17.100000000000001" customHeight="1">
      <c r="G499" s="6" t="str">
        <f t="shared" ca="1" si="7"/>
        <v/>
      </c>
    </row>
    <row r="500" spans="7:7" ht="17.100000000000001" customHeight="1">
      <c r="G500" s="6" t="str">
        <f t="shared" ca="1" si="7"/>
        <v/>
      </c>
    </row>
    <row r="501" spans="7:7" ht="17.100000000000001" customHeight="1">
      <c r="G501" s="6" t="str">
        <f t="shared" ca="1" si="7"/>
        <v/>
      </c>
    </row>
    <row r="502" spans="7:7">
      <c r="G502" s="6" t="str">
        <f t="shared" ca="1" si="7"/>
        <v/>
      </c>
    </row>
    <row r="503" spans="7:7">
      <c r="G503" s="6" t="str">
        <f t="shared" ca="1" si="7"/>
        <v/>
      </c>
    </row>
    <row r="504" spans="7:7">
      <c r="G504" s="6" t="str">
        <f t="shared" ca="1" si="7"/>
        <v/>
      </c>
    </row>
    <row r="505" spans="7:7">
      <c r="G505" s="6" t="str">
        <f t="shared" ca="1" si="7"/>
        <v/>
      </c>
    </row>
    <row r="506" spans="7:7">
      <c r="G506" s="6" t="str">
        <f t="shared" ca="1" si="7"/>
        <v/>
      </c>
    </row>
    <row r="507" spans="7:7">
      <c r="G507" s="6" t="str">
        <f t="shared" ca="1" si="7"/>
        <v/>
      </c>
    </row>
    <row r="508" spans="7:7">
      <c r="G508" s="6" t="str">
        <f t="shared" ca="1" si="7"/>
        <v/>
      </c>
    </row>
    <row r="509" spans="7:7">
      <c r="G509" s="6" t="str">
        <f t="shared" ca="1" si="7"/>
        <v/>
      </c>
    </row>
    <row r="510" spans="7:7">
      <c r="G510" s="6" t="str">
        <f t="shared" ca="1" si="7"/>
        <v/>
      </c>
    </row>
    <row r="511" spans="7:7">
      <c r="G511" s="6" t="str">
        <f t="shared" ca="1" si="7"/>
        <v/>
      </c>
    </row>
    <row r="512" spans="7:7">
      <c r="G512" s="6" t="str">
        <f t="shared" ca="1" si="7"/>
        <v/>
      </c>
    </row>
    <row r="513" spans="7:7">
      <c r="G513" s="6" t="str">
        <f t="shared" ca="1" si="7"/>
        <v/>
      </c>
    </row>
    <row r="514" spans="7:7">
      <c r="G514" s="6" t="str">
        <f t="shared" ca="1" si="7"/>
        <v/>
      </c>
    </row>
    <row r="515" spans="7:7">
      <c r="G515" s="6" t="str">
        <f t="shared" ca="1" si="7"/>
        <v/>
      </c>
    </row>
    <row r="516" spans="7:7">
      <c r="G516" s="6" t="str">
        <f t="shared" ca="1" si="7"/>
        <v/>
      </c>
    </row>
    <row r="517" spans="7:7">
      <c r="G517" s="6" t="str">
        <f t="shared" ca="1" si="7"/>
        <v/>
      </c>
    </row>
    <row r="518" spans="7:7">
      <c r="G518" s="6" t="str">
        <f t="shared" ca="1" si="7"/>
        <v/>
      </c>
    </row>
  </sheetData>
  <mergeCells count="4">
    <mergeCell ref="K4:L4"/>
    <mergeCell ref="B3:I3"/>
    <mergeCell ref="B2:I2"/>
    <mergeCell ref="K12:L12"/>
  </mergeCells>
  <conditionalFormatting sqref="A5:A517">
    <cfRule type="expression" dxfId="1" priority="1">
      <formula>A5="Recurring"</formula>
    </cfRule>
    <cfRule type="expression" dxfId="0" priority="2">
      <formula>A5="Static"</formula>
    </cfRule>
  </conditionalFormatting>
  <dataValidations count="2">
    <dataValidation type="list" allowBlank="1" sqref="A5:A517" xr:uid="{00000000-0002-0000-0000-000000000000}">
      <formula1>"Recurring,Static"</formula1>
    </dataValidation>
    <dataValidation type="list" allowBlank="1" sqref="D5:D517" xr:uid="{00000000-0002-0000-0000-000001000000}">
      <formula1>"Day,Week,Month,Year,Once"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5FA5"/>
  </sheetPr>
  <dimension ref="A1:G18"/>
  <sheetViews>
    <sheetView showGridLines="0" workbookViewId="0">
      <pane ySplit="4" topLeftCell="A5" activePane="bottomLeft" state="frozen"/>
      <selection pane="bottomLeft" activeCell="D24" sqref="D24"/>
    </sheetView>
  </sheetViews>
  <sheetFormatPr defaultColWidth="8.85546875" defaultRowHeight="15"/>
  <cols>
    <col min="1" max="1" width="16" customWidth="1"/>
    <col min="2" max="2" width="22" customWidth="1"/>
    <col min="3" max="3" width="16" customWidth="1"/>
    <col min="4" max="4" width="30" customWidth="1"/>
    <col min="5" max="5" width="2" customWidth="1"/>
    <col min="6" max="6" width="20" customWidth="1"/>
    <col min="7" max="7" width="16" customWidth="1"/>
  </cols>
  <sheetData>
    <row r="1" spans="1:7" ht="8.1" customHeight="1">
      <c r="A1" s="68"/>
      <c r="B1" s="68"/>
      <c r="C1" s="68"/>
      <c r="D1" s="68"/>
      <c r="E1" s="68"/>
      <c r="F1" s="68"/>
      <c r="G1" s="68"/>
    </row>
    <row r="2" spans="1:7" ht="38.1" customHeight="1">
      <c r="A2" s="68"/>
      <c r="B2" s="76" t="s">
        <v>43</v>
      </c>
      <c r="C2" s="77"/>
      <c r="D2" s="77"/>
      <c r="E2" s="77"/>
      <c r="F2" s="81"/>
      <c r="G2" s="68"/>
    </row>
    <row r="3" spans="1:7" ht="8.1" customHeight="1">
      <c r="A3" s="68"/>
      <c r="B3" s="83" t="s">
        <v>44</v>
      </c>
      <c r="C3" s="77"/>
      <c r="D3" s="77"/>
      <c r="E3" s="77"/>
      <c r="F3" s="81"/>
      <c r="G3" s="68"/>
    </row>
    <row r="4" spans="1:7" ht="21.95" customHeight="1">
      <c r="A4" s="1" t="s">
        <v>45</v>
      </c>
      <c r="B4" s="1" t="s">
        <v>2</v>
      </c>
      <c r="C4" s="1" t="s">
        <v>46</v>
      </c>
      <c r="D4" s="1" t="s">
        <v>10</v>
      </c>
      <c r="E4" s="66"/>
      <c r="F4" s="87" t="s">
        <v>47</v>
      </c>
      <c r="G4" s="81"/>
    </row>
    <row r="5" spans="1:7" ht="18" customHeight="1">
      <c r="A5" s="5">
        <v>46139</v>
      </c>
      <c r="B5" s="4" t="s">
        <v>48</v>
      </c>
      <c r="C5" s="3">
        <v>5000</v>
      </c>
      <c r="D5" s="7" t="s">
        <v>49</v>
      </c>
      <c r="E5" s="66"/>
      <c r="F5" s="8" t="s">
        <v>6</v>
      </c>
      <c r="G5" s="9">
        <v>46139</v>
      </c>
    </row>
    <row r="6" spans="1:7" ht="18" customHeight="1">
      <c r="A6" s="66"/>
      <c r="B6" s="66"/>
      <c r="C6" s="66"/>
      <c r="D6" s="66"/>
      <c r="E6" s="66"/>
      <c r="F6" s="8" t="s">
        <v>7</v>
      </c>
      <c r="G6" s="9">
        <v>47359</v>
      </c>
    </row>
    <row r="8" spans="1:7" ht="18" customHeight="1">
      <c r="A8" s="66"/>
      <c r="B8" s="66"/>
      <c r="C8" s="66"/>
      <c r="D8" s="66"/>
      <c r="E8" s="66"/>
      <c r="F8" s="16" t="s">
        <v>50</v>
      </c>
      <c r="G8" s="17">
        <f>SUMIFS(C:C,A:A,"&gt;="&amp;G5,A:A,"&lt;="&amp;G6)</f>
        <v>5000</v>
      </c>
    </row>
    <row r="10" spans="1:7" ht="18" customHeight="1">
      <c r="A10" s="66"/>
      <c r="B10" s="66"/>
      <c r="C10" s="66"/>
      <c r="D10" s="66"/>
      <c r="E10" s="66"/>
      <c r="F10" s="18" t="s">
        <v>51</v>
      </c>
      <c r="G10" s="19">
        <f>COUNTA(A5:A10006)</f>
        <v>1</v>
      </c>
    </row>
    <row r="12" spans="1:7" ht="27.95" customHeight="1">
      <c r="A12" s="66"/>
      <c r="B12" s="66"/>
      <c r="C12" s="66"/>
      <c r="D12" s="66"/>
      <c r="E12" s="66"/>
      <c r="F12" s="88" t="s">
        <v>52</v>
      </c>
      <c r="G12" s="77"/>
    </row>
    <row r="13" spans="1:7">
      <c r="A13" s="66"/>
      <c r="B13" s="66"/>
      <c r="C13" s="66"/>
      <c r="D13" s="66"/>
      <c r="E13" s="66"/>
      <c r="F13" s="66"/>
      <c r="G13" s="66"/>
    </row>
    <row r="14" spans="1:7">
      <c r="A14" s="66"/>
      <c r="B14" s="66"/>
      <c r="C14" s="66"/>
      <c r="D14" s="66"/>
      <c r="E14" s="66"/>
      <c r="F14" s="66"/>
      <c r="G14" s="66"/>
    </row>
    <row r="15" spans="1:7">
      <c r="A15" s="66"/>
      <c r="B15" s="66"/>
      <c r="C15" s="66"/>
      <c r="D15" s="66"/>
      <c r="E15" s="66"/>
      <c r="F15" s="66"/>
      <c r="G15" s="66"/>
    </row>
    <row r="16" spans="1:7">
      <c r="A16" s="66"/>
      <c r="B16" s="66"/>
      <c r="C16" s="66"/>
      <c r="D16" s="66"/>
      <c r="E16" s="66"/>
      <c r="F16" s="66"/>
      <c r="G16" s="66"/>
    </row>
    <row r="17" spans="1:4">
      <c r="A17" s="66"/>
      <c r="B17" s="66"/>
      <c r="C17" s="66"/>
      <c r="D17" s="66"/>
    </row>
    <row r="18" spans="1:4">
      <c r="A18" s="66"/>
      <c r="B18" s="66"/>
      <c r="C18" s="66"/>
      <c r="D18" s="66"/>
    </row>
  </sheetData>
  <mergeCells count="4">
    <mergeCell ref="B2:F2"/>
    <mergeCell ref="F4:G4"/>
    <mergeCell ref="F12:G12"/>
    <mergeCell ref="B3:F3"/>
  </mergeCells>
  <dataValidations count="1">
    <dataValidation type="list" allowBlank="1" sqref="B5:B506" xr:uid="{00000000-0002-0000-0100-000000000000}">
      <formula1>"Income after Fees,Reimbursement,Adjustment,Other"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B6D11"/>
  </sheetPr>
  <dimension ref="A1:D30"/>
  <sheetViews>
    <sheetView showGridLines="0" workbookViewId="0">
      <selection activeCell="B21" sqref="B21"/>
    </sheetView>
  </sheetViews>
  <sheetFormatPr defaultColWidth="8.85546875" defaultRowHeight="15"/>
  <cols>
    <col min="1" max="1" width="24" customWidth="1"/>
    <col min="2" max="2" width="18" customWidth="1"/>
    <col min="3" max="3" width="32" customWidth="1"/>
  </cols>
  <sheetData>
    <row r="1" spans="1:4" ht="8.1" customHeight="1">
      <c r="A1" s="68"/>
      <c r="B1" s="68"/>
      <c r="C1" s="68"/>
      <c r="D1" s="68"/>
    </row>
    <row r="2" spans="1:4" ht="38.1" customHeight="1">
      <c r="A2" s="68"/>
      <c r="B2" s="76" t="s">
        <v>53</v>
      </c>
      <c r="C2" s="77"/>
      <c r="D2" s="68"/>
    </row>
    <row r="3" spans="1:4">
      <c r="A3" s="68"/>
      <c r="B3" s="83" t="s">
        <v>54</v>
      </c>
      <c r="C3" s="77"/>
      <c r="D3" s="68"/>
    </row>
    <row r="4" spans="1:4" ht="20.100000000000001" customHeight="1">
      <c r="A4" s="80" t="s">
        <v>55</v>
      </c>
      <c r="B4" s="81"/>
      <c r="C4" s="81"/>
      <c r="D4" s="66"/>
    </row>
    <row r="5" spans="1:4" ht="18" customHeight="1">
      <c r="A5" s="8" t="s">
        <v>6</v>
      </c>
      <c r="B5" s="9">
        <v>46113</v>
      </c>
      <c r="C5" s="20" t="s">
        <v>56</v>
      </c>
      <c r="D5" s="66"/>
    </row>
    <row r="6" spans="1:4" ht="18" customHeight="1">
      <c r="A6" s="8" t="s">
        <v>7</v>
      </c>
      <c r="B6" s="9">
        <v>46292</v>
      </c>
      <c r="C6" s="20" t="s">
        <v>57</v>
      </c>
      <c r="D6" s="66"/>
    </row>
    <row r="7" spans="1:4" ht="6" customHeight="1">
      <c r="A7" s="66"/>
      <c r="B7" s="66"/>
      <c r="C7" s="66"/>
      <c r="D7" s="66"/>
    </row>
    <row r="8" spans="1:4" ht="20.100000000000001" customHeight="1">
      <c r="A8" s="80" t="s">
        <v>58</v>
      </c>
      <c r="B8" s="81"/>
      <c r="C8" s="81"/>
      <c r="D8" s="66"/>
    </row>
    <row r="9" spans="1:4" ht="18" customHeight="1">
      <c r="A9" s="21" t="s">
        <v>59</v>
      </c>
      <c r="B9" s="22">
        <f>SUMIFS('Amazon Income'!C:C,'Amazon Income'!A:A,"&gt;="&amp;B5,'Amazon Income'!A:A,"&lt;="&amp;B6)</f>
        <v>5000</v>
      </c>
      <c r="C9" s="23" t="s">
        <v>60</v>
      </c>
      <c r="D9" s="66"/>
    </row>
    <row r="10" spans="1:4" ht="18" customHeight="1">
      <c r="A10" s="21" t="s">
        <v>0</v>
      </c>
      <c r="B10" s="22" cm="1">
        <f t="array" aca="1" ref="B10" ca="1">SUMPRODUCT(
(Expenses!E5:E517&gt;=B5)*
(IF(Expenses!F5:F517="",TODAY(),Expenses!F5:F517)&lt;=B6)*
IF(Expenses!G5:G517="",0,Expenses!G5:G517)
)</f>
        <v>1672.32</v>
      </c>
      <c r="C10" s="23" t="s">
        <v>61</v>
      </c>
      <c r="D10" s="66"/>
    </row>
    <row r="11" spans="1:4" ht="6" customHeight="1">
      <c r="A11" s="66"/>
      <c r="B11" s="66"/>
      <c r="C11" s="66"/>
      <c r="D11" s="66"/>
    </row>
    <row r="12" spans="1:4" ht="20.100000000000001" customHeight="1">
      <c r="A12" s="80" t="s">
        <v>62</v>
      </c>
      <c r="B12" s="81"/>
      <c r="C12" s="81"/>
      <c r="D12" s="66"/>
    </row>
    <row r="13" spans="1:4" ht="18" customHeight="1">
      <c r="A13" s="14" t="s">
        <v>63</v>
      </c>
      <c r="B13" s="24">
        <f ca="1">B9-B10</f>
        <v>3327.6800000000003</v>
      </c>
      <c r="C13" s="25" t="s">
        <v>64</v>
      </c>
      <c r="D13" s="66"/>
    </row>
    <row r="14" spans="1:4" ht="6" customHeight="1">
      <c r="A14" s="66"/>
      <c r="B14" s="66"/>
      <c r="C14" s="66"/>
      <c r="D14" s="66"/>
    </row>
    <row r="15" spans="1:4" ht="20.100000000000001" customHeight="1">
      <c r="A15" s="80" t="s">
        <v>65</v>
      </c>
      <c r="B15" s="81"/>
      <c r="C15" s="81"/>
      <c r="D15" s="66"/>
    </row>
    <row r="16" spans="1:4" ht="18" customHeight="1">
      <c r="A16" s="8" t="s">
        <v>66</v>
      </c>
      <c r="B16" s="26">
        <v>0.35</v>
      </c>
      <c r="C16" s="20" t="s">
        <v>67</v>
      </c>
      <c r="D16" s="66"/>
    </row>
    <row r="17" spans="1:3" ht="18" customHeight="1">
      <c r="A17" s="27" t="s">
        <v>68</v>
      </c>
      <c r="B17" s="28">
        <f ca="1">IF(B13&gt;0,B13*B16,0)</f>
        <v>1164.6880000000001</v>
      </c>
      <c r="C17" s="29" t="s">
        <v>69</v>
      </c>
    </row>
    <row r="18" spans="1:3" ht="6" customHeight="1">
      <c r="A18" s="66"/>
      <c r="B18" s="66"/>
      <c r="C18" s="66"/>
    </row>
    <row r="19" spans="1:3" ht="20.100000000000001" customHeight="1">
      <c r="A19" s="80" t="s">
        <v>70</v>
      </c>
      <c r="B19" s="81"/>
      <c r="C19" s="81"/>
    </row>
    <row r="20" spans="1:3" ht="18" customHeight="1">
      <c r="A20" s="8" t="s">
        <v>71</v>
      </c>
      <c r="B20" s="26">
        <v>0.5</v>
      </c>
      <c r="C20" s="20" t="s">
        <v>72</v>
      </c>
    </row>
    <row r="21" spans="1:3" ht="18" customHeight="1">
      <c r="A21" s="10" t="s">
        <v>73</v>
      </c>
      <c r="B21" s="11">
        <f ca="1">IF(B13&gt;0,(B13-B17)*B20,0)</f>
        <v>1081.4960000000001</v>
      </c>
      <c r="C21" s="30" t="s">
        <v>74</v>
      </c>
    </row>
    <row r="22" spans="1:3" ht="6" customHeight="1">
      <c r="A22" s="66"/>
      <c r="B22" s="66"/>
      <c r="C22" s="66"/>
    </row>
    <row r="23" spans="1:3" ht="20.100000000000001" customHeight="1">
      <c r="A23" s="80" t="s">
        <v>75</v>
      </c>
      <c r="B23" s="81"/>
      <c r="C23" s="81"/>
    </row>
    <row r="24" spans="1:3" ht="18" customHeight="1">
      <c r="A24" s="16" t="s">
        <v>76</v>
      </c>
      <c r="B24" s="17">
        <f ca="1">B13-B17-B21</f>
        <v>1081.4960000000001</v>
      </c>
      <c r="C24" s="31" t="s">
        <v>77</v>
      </c>
    </row>
    <row r="25" spans="1:3" ht="18" customHeight="1">
      <c r="A25" s="8" t="s">
        <v>78</v>
      </c>
      <c r="B25" s="26">
        <v>0.7</v>
      </c>
      <c r="C25" s="20" t="s">
        <v>79</v>
      </c>
    </row>
    <row r="26" spans="1:3" ht="18" customHeight="1">
      <c r="A26" s="8" t="s">
        <v>80</v>
      </c>
      <c r="B26" s="26">
        <v>0.3</v>
      </c>
      <c r="C26" s="20" t="s">
        <v>79</v>
      </c>
    </row>
    <row r="27" spans="1:3" ht="18" customHeight="1">
      <c r="A27" s="16" t="s">
        <v>81</v>
      </c>
      <c r="B27" s="17">
        <f ca="1">B24*B25</f>
        <v>757.04719999999998</v>
      </c>
      <c r="C27" s="31" t="s">
        <v>82</v>
      </c>
    </row>
    <row r="28" spans="1:3" ht="18" customHeight="1">
      <c r="A28" s="16" t="s">
        <v>83</v>
      </c>
      <c r="B28" s="17">
        <f ca="1">B24*B26</f>
        <v>324.44880000000001</v>
      </c>
      <c r="C28" s="31" t="s">
        <v>84</v>
      </c>
    </row>
    <row r="29" spans="1:3" ht="6" customHeight="1">
      <c r="A29" s="66"/>
      <c r="B29" s="66"/>
      <c r="C29" s="66"/>
    </row>
    <row r="30" spans="1:3" ht="15.95" customHeight="1">
      <c r="A30" s="18" t="s">
        <v>85</v>
      </c>
      <c r="B30" s="32">
        <f>B25+B26</f>
        <v>1</v>
      </c>
      <c r="C30" s="33" t="s">
        <v>86</v>
      </c>
    </row>
  </sheetData>
  <mergeCells count="8">
    <mergeCell ref="B2:C2"/>
    <mergeCell ref="A19:C19"/>
    <mergeCell ref="A23:C23"/>
    <mergeCell ref="B3:C3"/>
    <mergeCell ref="A8:C8"/>
    <mergeCell ref="A12:C12"/>
    <mergeCell ref="A4:C4"/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2A4A"/>
  </sheetPr>
  <dimension ref="A1:G22"/>
  <sheetViews>
    <sheetView showGridLines="0" tabSelected="1" workbookViewId="0">
      <selection activeCell="B8" sqref="B8:C8"/>
    </sheetView>
  </sheetViews>
  <sheetFormatPr defaultColWidth="8.85546875" defaultRowHeight="15"/>
  <cols>
    <col min="1" max="1" width="2" customWidth="1"/>
    <col min="2" max="2" width="26" customWidth="1"/>
    <col min="3" max="4" width="16" customWidth="1"/>
    <col min="5" max="5" width="18" customWidth="1"/>
    <col min="6" max="6" width="16" customWidth="1"/>
    <col min="7" max="7" width="2" customWidth="1"/>
  </cols>
  <sheetData>
    <row r="1" spans="1:7" ht="8.1" customHeight="1">
      <c r="A1" s="68"/>
      <c r="B1" s="68"/>
      <c r="C1" s="68"/>
      <c r="D1" s="68"/>
      <c r="E1" s="68"/>
      <c r="F1" s="68"/>
      <c r="G1" s="68"/>
    </row>
    <row r="2" spans="1:7" ht="38.1" customHeight="1">
      <c r="A2" s="68"/>
      <c r="B2" s="76" t="s">
        <v>87</v>
      </c>
      <c r="C2" s="77"/>
      <c r="D2" s="77"/>
      <c r="E2" s="77"/>
      <c r="F2" s="77"/>
      <c r="G2" s="68"/>
    </row>
    <row r="3" spans="1:7" ht="8.1" customHeight="1">
      <c r="A3" s="68"/>
      <c r="B3" s="83" t="s">
        <v>88</v>
      </c>
      <c r="C3" s="77"/>
      <c r="D3" s="77"/>
      <c r="E3" s="77"/>
      <c r="F3" s="77"/>
      <c r="G3" s="68"/>
    </row>
    <row r="5" spans="1:7" ht="8.1" customHeight="1">
      <c r="A5" s="66"/>
      <c r="B5" s="66"/>
      <c r="C5" s="66"/>
      <c r="D5" s="66"/>
      <c r="E5" s="66"/>
      <c r="F5" s="66"/>
      <c r="G5" s="66"/>
    </row>
    <row r="6" spans="1:7" ht="8.1" customHeight="1">
      <c r="A6" s="66"/>
      <c r="B6" s="66"/>
      <c r="C6" s="66"/>
      <c r="D6" s="66"/>
      <c r="E6" s="66"/>
      <c r="F6" s="66"/>
      <c r="G6" s="66"/>
    </row>
    <row r="7" spans="1:7" ht="32.1" customHeight="1">
      <c r="A7" s="66"/>
      <c r="B7" s="74" t="s">
        <v>89</v>
      </c>
      <c r="C7" s="75"/>
      <c r="D7" s="82" t="s">
        <v>90</v>
      </c>
      <c r="E7" s="78" t="s">
        <v>91</v>
      </c>
      <c r="F7" s="79"/>
      <c r="G7" s="66"/>
    </row>
    <row r="8" spans="1:7" ht="20.100000000000001" customHeight="1">
      <c r="A8" s="66"/>
      <c r="B8" s="85">
        <f>SUM('Amazon Income'!C:C)</f>
        <v>5000</v>
      </c>
      <c r="C8" s="75"/>
      <c r="D8" s="84">
        <f ca="1">SUM(Expenses!G:G)</f>
        <v>1672.32</v>
      </c>
      <c r="E8" s="86">
        <f ca="1">'Amazon Profit'!B13</f>
        <v>3327.6800000000003</v>
      </c>
      <c r="F8" s="79"/>
      <c r="G8" s="66"/>
    </row>
    <row r="9" spans="1:7" ht="8.1" customHeight="1">
      <c r="A9" s="66"/>
      <c r="B9" s="66"/>
      <c r="C9" s="66"/>
      <c r="D9" s="66"/>
      <c r="E9" s="66"/>
      <c r="F9" s="66"/>
      <c r="G9" s="66"/>
    </row>
    <row r="11" spans="1:7" ht="20.100000000000001" customHeight="1">
      <c r="A11" s="66"/>
      <c r="B11" s="80" t="s">
        <v>92</v>
      </c>
      <c r="C11" s="81"/>
      <c r="D11" s="81"/>
      <c r="E11" s="81"/>
      <c r="F11" s="81"/>
      <c r="G11" s="66"/>
    </row>
    <row r="12" spans="1:7" ht="18" customHeight="1">
      <c r="A12" s="66"/>
      <c r="B12" s="34" t="s">
        <v>93</v>
      </c>
      <c r="C12" s="34" t="s">
        <v>46</v>
      </c>
      <c r="D12" s="34" t="s">
        <v>94</v>
      </c>
      <c r="E12" s="34" t="s">
        <v>10</v>
      </c>
      <c r="F12" s="66"/>
      <c r="G12" s="66"/>
    </row>
    <row r="13" spans="1:7" ht="15.95" customHeight="1">
      <c r="A13" s="66"/>
      <c r="B13" s="35" t="s">
        <v>95</v>
      </c>
      <c r="C13" s="36">
        <f>SUM('Amazon Income'!C:C)</f>
        <v>5000</v>
      </c>
      <c r="D13" s="37" t="s">
        <v>96</v>
      </c>
      <c r="E13" s="38" t="s">
        <v>97</v>
      </c>
      <c r="F13" s="39"/>
      <c r="G13" s="66"/>
    </row>
    <row r="14" spans="1:7" ht="15.95" customHeight="1">
      <c r="A14" s="66"/>
      <c r="B14" s="40" t="s">
        <v>98</v>
      </c>
      <c r="C14" s="41">
        <f ca="1">SUMIF(Expenses!A:A,"Recurring",Expenses!G:G)</f>
        <v>1328.3600000000001</v>
      </c>
      <c r="D14" s="42">
        <f ca="1">C14/C13</f>
        <v>0.26567200000000002</v>
      </c>
      <c r="E14" s="18" t="s">
        <v>99</v>
      </c>
      <c r="F14" s="43"/>
      <c r="G14" s="66"/>
    </row>
    <row r="15" spans="1:7" ht="15.95" customHeight="1">
      <c r="A15" s="66"/>
      <c r="B15" s="35" t="s">
        <v>100</v>
      </c>
      <c r="C15" s="36">
        <f ca="1">SUMIF(Expenses!A:A,"Static",Expenses!G:G)</f>
        <v>343.96000000000004</v>
      </c>
      <c r="D15" s="44">
        <f ca="1">C15/C13</f>
        <v>6.8792000000000006E-2</v>
      </c>
      <c r="E15" s="38" t="s">
        <v>101</v>
      </c>
      <c r="F15" s="39"/>
      <c r="G15" s="66"/>
    </row>
    <row r="16" spans="1:7" ht="15.95" customHeight="1">
      <c r="A16" s="66"/>
      <c r="B16" s="45" t="s">
        <v>102</v>
      </c>
      <c r="C16" s="46">
        <f ca="1">C14+C15</f>
        <v>1672.3200000000002</v>
      </c>
      <c r="D16" s="47">
        <f ca="1">C16/C13</f>
        <v>0.33446400000000004</v>
      </c>
      <c r="E16" s="48" t="s">
        <v>103</v>
      </c>
      <c r="F16" s="49"/>
      <c r="G16" s="66"/>
    </row>
    <row r="17" spans="2:6" ht="15.95" customHeight="1">
      <c r="B17" s="45" t="s">
        <v>63</v>
      </c>
      <c r="C17" s="46">
        <f ca="1">'Amazon Profit'!B13</f>
        <v>3327.6800000000003</v>
      </c>
      <c r="D17" s="47">
        <f ca="1">C17/C13</f>
        <v>0.66553600000000002</v>
      </c>
      <c r="E17" s="48" t="s">
        <v>64</v>
      </c>
      <c r="F17" s="49"/>
    </row>
    <row r="18" spans="2:6" ht="15.95" customHeight="1">
      <c r="B18" s="50" t="s">
        <v>104</v>
      </c>
      <c r="C18" s="51">
        <f ca="1">'Amazon Profit'!B17</f>
        <v>1164.6880000000001</v>
      </c>
      <c r="D18" s="52">
        <f ca="1">C18/C13</f>
        <v>0.23293760000000002</v>
      </c>
      <c r="E18" s="53" t="s">
        <v>105</v>
      </c>
      <c r="F18" s="54"/>
    </row>
    <row r="19" spans="2:6" ht="15.95" customHeight="1">
      <c r="B19" s="55" t="s">
        <v>106</v>
      </c>
      <c r="C19" s="56">
        <f ca="1">'Amazon Profit'!B21</f>
        <v>1081.4960000000001</v>
      </c>
      <c r="D19" s="57">
        <f ca="1">C19/C13</f>
        <v>0.21629920000000002</v>
      </c>
      <c r="E19" s="58" t="s">
        <v>107</v>
      </c>
      <c r="F19" s="65"/>
    </row>
    <row r="20" spans="2:6" ht="15.95" customHeight="1">
      <c r="B20" s="59" t="s">
        <v>76</v>
      </c>
      <c r="C20" s="60">
        <f ca="1">'Amazon Profit'!B24</f>
        <v>1081.4960000000001</v>
      </c>
      <c r="D20" s="61">
        <f ca="1">C20/C13</f>
        <v>0.21629920000000002</v>
      </c>
      <c r="E20" s="62" t="s">
        <v>108</v>
      </c>
      <c r="F20" s="67"/>
    </row>
    <row r="21" spans="2:6" ht="15.95" customHeight="1">
      <c r="B21" s="63" t="s">
        <v>109</v>
      </c>
      <c r="C21" s="64">
        <f ca="1">'Amazon Profit'!B27</f>
        <v>757.04719999999998</v>
      </c>
      <c r="D21" s="61">
        <f ca="1">C21/C13</f>
        <v>0.15140944000000001</v>
      </c>
      <c r="E21" s="62" t="s">
        <v>110</v>
      </c>
      <c r="F21" s="67"/>
    </row>
    <row r="22" spans="2:6" ht="15.95" customHeight="1">
      <c r="B22" s="63" t="s">
        <v>111</v>
      </c>
      <c r="C22" s="64">
        <f ca="1">'Amazon Profit'!B28</f>
        <v>324.44880000000001</v>
      </c>
      <c r="D22" s="61">
        <f ca="1">C22/C13</f>
        <v>6.4889760000000005E-2</v>
      </c>
      <c r="E22" s="62" t="s">
        <v>112</v>
      </c>
      <c r="F22" s="67"/>
    </row>
  </sheetData>
  <mergeCells count="9">
    <mergeCell ref="B7:C7"/>
    <mergeCell ref="B2:F2"/>
    <mergeCell ref="E7:F7"/>
    <mergeCell ref="B11:F11"/>
    <mergeCell ref="D7"/>
    <mergeCell ref="B3:F3"/>
    <mergeCell ref="D8"/>
    <mergeCell ref="B8:C8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CentralLine Group</cp:lastModifiedBy>
  <cp:revision/>
  <dcterms:created xsi:type="dcterms:W3CDTF">2026-04-28T05:35:07Z</dcterms:created>
  <dcterms:modified xsi:type="dcterms:W3CDTF">2026-04-28T16:08:44Z</dcterms:modified>
  <cp:category/>
  <cp:contentStatus/>
</cp:coreProperties>
</file>